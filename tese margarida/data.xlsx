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ento prévio" sheetId="1" r:id="rId4"/>
    <sheet state="visible" name="Recolha_de_Dados" sheetId="2" r:id="rId5"/>
    <sheet state="visible" name="Listas_Dropdowns" sheetId="3" r:id="rId6"/>
  </sheets>
  <definedNames/>
  <calcPr/>
  <extLst>
    <ext uri="GoogleSheetsCustomDataVersion2">
      <go:sheetsCustomData xmlns:go="http://customooxmlschemas.google.com/" r:id="rId7" roundtripDataChecksum="K68MH0H8q2sMbyfkv/c5IgiEt5M/aNlnREDwSkosDoI="/>
    </ext>
  </extLst>
</workbook>
</file>

<file path=xl/sharedStrings.xml><?xml version="1.0" encoding="utf-8"?>
<sst xmlns="http://schemas.openxmlformats.org/spreadsheetml/2006/main" count="662" uniqueCount="291">
  <si>
    <t>nome</t>
  </si>
  <si>
    <t>nsc</t>
  </si>
  <si>
    <t>data de internamento</t>
  </si>
  <si>
    <t>Isaque Moura dos Reis</t>
  </si>
  <si>
    <t>Telmo Botelho</t>
  </si>
  <si>
    <t>Monica Diogo</t>
  </si>
  <si>
    <t>Mariana Dornelas</t>
  </si>
  <si>
    <t>Felipe Santos</t>
  </si>
  <si>
    <t>Vera Marques Reis Costa</t>
  </si>
  <si>
    <t>Ricardo Manuel Da Paz Ferreira</t>
  </si>
  <si>
    <t>Sabina Naundi Manuel Martins</t>
  </si>
  <si>
    <t>Leonor Albuquerque Martins e Quinhones Gaiolas</t>
  </si>
  <si>
    <t>Violeta Maria de Almeida Carneiro</t>
  </si>
  <si>
    <t>Analeca de Sousa</t>
  </si>
  <si>
    <t>Salvador Martins Pedro</t>
  </si>
  <si>
    <t>Ândria Sofia Nunes da Costa</t>
  </si>
  <si>
    <t>Priscila Vitória Soares Semedo</t>
  </si>
  <si>
    <t>Gil Amaro</t>
  </si>
  <si>
    <t>António Bernardo da Silva Sequerida Bastos</t>
  </si>
  <si>
    <t>Rúben José Machado</t>
  </si>
  <si>
    <t>Kleiton Do Nascimento Silva Gomes</t>
  </si>
  <si>
    <t>Melissa Chuman Ciríaco Borges</t>
  </si>
  <si>
    <t>Gabriel Salvado Mariz</t>
  </si>
  <si>
    <t>Inês Pereira Ferreira</t>
  </si>
  <si>
    <t>Henrique Rama Rodrigues Vital Marques</t>
  </si>
  <si>
    <t>Lara Cristina Torres Ramos Miranda</t>
  </si>
  <si>
    <t>Pedro Mota Figueira Ralha</t>
  </si>
  <si>
    <t>Rúben André Batista Carvalho</t>
  </si>
  <si>
    <t>Patrícia Carvalho Mateus</t>
  </si>
  <si>
    <t>Miguel Ramos</t>
  </si>
  <si>
    <t>João Guilherme Oliveira</t>
  </si>
  <si>
    <t>Guilherme Esteves Fachada</t>
  </si>
  <si>
    <t>Santhiago Filipe Cardoso Pereira</t>
  </si>
  <si>
    <t>Domingos Joao Gomes Supo</t>
  </si>
  <si>
    <t>Alicia Marlene Costa Correia</t>
  </si>
  <si>
    <t>Gonçalo Henriques Martins</t>
  </si>
  <si>
    <t>Jessica Milene Barbosa Silva</t>
  </si>
  <si>
    <t>Santiago Tomás Simões Bernardes</t>
  </si>
  <si>
    <t xml:space="preserve">SOPHIA MONTEIRO DE PAULA </t>
  </si>
  <si>
    <t>?330744112</t>
  </si>
  <si>
    <t xml:space="preserve"> Gabriel Manhone Costa</t>
  </si>
  <si>
    <t>Francisco Xavier Cortes Rato</t>
  </si>
  <si>
    <t>Melissa Garrido Rato</t>
  </si>
  <si>
    <t xml:space="preserve">Mariana Sofia Mourato Cavaco                                                                </t>
  </si>
  <si>
    <t>Lourenço Xavier Varela Castelo</t>
  </si>
  <si>
    <t>Francisco Miguel Pereira Guimarães Rosa</t>
  </si>
  <si>
    <t xml:space="preserve">  </t>
  </si>
  <si>
    <t xml:space="preserve">nº processo </t>
  </si>
  <si>
    <t>Data de nascimento</t>
  </si>
  <si>
    <t xml:space="preserve">Idade </t>
  </si>
  <si>
    <t>Sexo</t>
  </si>
  <si>
    <t>Doença crónica PRÉVIA</t>
  </si>
  <si>
    <t>Doença psiquiátrica prévia</t>
  </si>
  <si>
    <t>Qual</t>
  </si>
  <si>
    <t>Data de admissao na UCIPed</t>
  </si>
  <si>
    <t>Data_alta_UCIPed</t>
  </si>
  <si>
    <t>Tempo_total_UCIP_dias</t>
  </si>
  <si>
    <t>Diagnóstico_admissao_principal</t>
  </si>
  <si>
    <t>Categoria_diagnóstico</t>
  </si>
  <si>
    <t xml:space="preserve">Ventilação </t>
  </si>
  <si>
    <t>Dias de ventilação</t>
  </si>
  <si>
    <t>Sedo-analgia</t>
  </si>
  <si>
    <t>Dias de sedoanalgesia</t>
  </si>
  <si>
    <t>Motivo de apoio psicológico</t>
  </si>
  <si>
    <t>Medicação psiquiátrica iniciada</t>
  </si>
  <si>
    <t>Alta UCIP destino</t>
  </si>
  <si>
    <t>Seguimento psic após alta</t>
  </si>
  <si>
    <t>Duração do seguimento</t>
  </si>
  <si>
    <t>Feminino</t>
  </si>
  <si>
    <t>respiratória, psiquiátrica</t>
  </si>
  <si>
    <t>Sim</t>
  </si>
  <si>
    <t>perturbação da ansiedade</t>
  </si>
  <si>
    <t xml:space="preserve">Trombose venosa cerebral </t>
  </si>
  <si>
    <t>Neurológico</t>
  </si>
  <si>
    <t>sim</t>
  </si>
  <si>
    <t>tóxicos na urina</t>
  </si>
  <si>
    <t>observação psicológica</t>
  </si>
  <si>
    <t>Não</t>
  </si>
  <si>
    <t>Transferência_reabilitação</t>
  </si>
  <si>
    <t xml:space="preserve">mantem seguimento no HBA e no psicologo privado </t>
  </si>
  <si>
    <t>Leonardo Alexandre Lima Lopes Semedo</t>
  </si>
  <si>
    <t>Masculino</t>
  </si>
  <si>
    <t>Politrauma por acidente de viação com capotamento em contexto de intoxicação etanólica</t>
  </si>
  <si>
    <t>Trauma</t>
  </si>
  <si>
    <t xml:space="preserve">sim </t>
  </si>
  <si>
    <t xml:space="preserve">agitação psicomotora e frustração </t>
  </si>
  <si>
    <t>medicação psiquiátrica</t>
  </si>
  <si>
    <t>mantém seguimento (última consulta a 10 de outubro de 2025)</t>
  </si>
  <si>
    <t xml:space="preserve"> Gabriel Ferreira Leal      </t>
  </si>
  <si>
    <t>não</t>
  </si>
  <si>
    <t>Choque cardiogénico com necessidade de ECMO VA</t>
  </si>
  <si>
    <t>Cardíaco</t>
  </si>
  <si>
    <t>humor deprimido</t>
  </si>
  <si>
    <t>medicação</t>
  </si>
  <si>
    <t xml:space="preserve">Sem seguimento </t>
  </si>
  <si>
    <t>perturbação da ansiedade e depressiva</t>
  </si>
  <si>
    <t>perturbação depressiva, ideação suicida, perturbação da ansiedade</t>
  </si>
  <si>
    <t>Intoxicação medicamentosa voluntária</t>
  </si>
  <si>
    <t xml:space="preserve">acidentes e causas externas </t>
  </si>
  <si>
    <t>tentativa de suicídio</t>
  </si>
  <si>
    <t xml:space="preserve">observação psiquiátrica e psicológica </t>
  </si>
  <si>
    <t>transferência hospital psiquiátrico</t>
  </si>
  <si>
    <t>manteve seguimento, tem consulta agendada para santarém e última consulta ( 1ª pós internamento em agosto de 2025</t>
  </si>
  <si>
    <t>Perturbação de Ansiedade e Transtorno obsessivo-compulsivo</t>
  </si>
  <si>
    <t>Politrauma por acidente de viação</t>
  </si>
  <si>
    <t>anseidade</t>
  </si>
  <si>
    <t xml:space="preserve">medicação </t>
  </si>
  <si>
    <t>mantem seguimento (última consula 16 de setembro)</t>
  </si>
  <si>
    <t>Alexandra Prudêncio Cardoso</t>
  </si>
  <si>
    <t>Choque séptico a Pseudomonas aeruginosa</t>
  </si>
  <si>
    <t>Infeccioso/Sepsis</t>
  </si>
  <si>
    <t>delirio hipoativo</t>
  </si>
  <si>
    <t>alta a 29/09/2025</t>
  </si>
  <si>
    <t>Isaac Mateus Soares dos Santos de Freitas</t>
  </si>
  <si>
    <t>Imunoalergologia (asfixia)</t>
  </si>
  <si>
    <t>Alterações do comportamento- oposição/PHDA não diagnosticada</t>
  </si>
  <si>
    <t xml:space="preserve"> Politraumatizado na sequência de queda de 3 andares</t>
  </si>
  <si>
    <t>tentativa de suicidio? defenestração impulsiva</t>
  </si>
  <si>
    <t>mantem seguimento (última consulta 12/01/2026)</t>
  </si>
  <si>
    <t>JONATÃ ÁLVARO FLORES DA SILVA</t>
  </si>
  <si>
    <t>desconhecidos</t>
  </si>
  <si>
    <t>desconhecido</t>
  </si>
  <si>
    <t>Trauma por arma de fogo</t>
  </si>
  <si>
    <t>luto</t>
  </si>
  <si>
    <t>Luísa Rodrigues Alexandre</t>
  </si>
  <si>
    <t xml:space="preserve">Laceração da traqueia após traumatismo acidental </t>
  </si>
  <si>
    <t>sindrome de privação e perturbação do sono</t>
  </si>
  <si>
    <t xml:space="preserve">sem seguimento </t>
  </si>
  <si>
    <t>Maria Leonor Santos Rodrigues</t>
  </si>
  <si>
    <t>dermatológica, respiratória</t>
  </si>
  <si>
    <t>Asfixia traumática por enforcamento</t>
  </si>
  <si>
    <t xml:space="preserve">tentativa de suicídio </t>
  </si>
  <si>
    <t xml:space="preserve">observação em consulta </t>
  </si>
  <si>
    <t>seguida agora no HDE</t>
  </si>
  <si>
    <t>perturbação de ansiedade</t>
  </si>
  <si>
    <t>Pós-operatório laparotomia exploradora com reconstrução de ileostomia</t>
  </si>
  <si>
    <t>outro</t>
  </si>
  <si>
    <t>ansiedade/agitação</t>
  </si>
  <si>
    <t xml:space="preserve">observação pela psicologia </t>
  </si>
  <si>
    <t xml:space="preserve">sem registos de seguimento </t>
  </si>
  <si>
    <t>Leandra Tais Tavares Lopes dos Santos</t>
  </si>
  <si>
    <t>osteomilelite</t>
  </si>
  <si>
    <t>Tentativa de suicídio , defenestração 9º andar</t>
  </si>
  <si>
    <t xml:space="preserve">tentativa de suicidio </t>
  </si>
  <si>
    <t>perde seguimento por faltas (última consulta de psicologia em fevereiro de 2023</t>
  </si>
  <si>
    <t>Maria Veiga Amorim Mendes</t>
  </si>
  <si>
    <t>Traumatismo vertebromedular pós-acidente desportivo</t>
  </si>
  <si>
    <t xml:space="preserve">perturbação do sono/insónia </t>
  </si>
  <si>
    <t>observação psiquiátrica e psicológica e medicação</t>
  </si>
  <si>
    <t>perdeu seguimento, última consulta em dezembro de 2023 .hpv</t>
  </si>
  <si>
    <t>Inês Pereira dos Santos Ferreira</t>
  </si>
  <si>
    <t>cardiovascular, neurológica, psiquiátrica</t>
  </si>
  <si>
    <t>ansiedade e depressão</t>
  </si>
  <si>
    <t>TCE grave – Acidente de viação</t>
  </si>
  <si>
    <t>ansiedade</t>
  </si>
  <si>
    <t>observação pedopsiquiatria</t>
  </si>
  <si>
    <t>seguida no privado, sem possibilidade de saber se mantem acompanhamento</t>
  </si>
  <si>
    <t>Carlota Veríssimo Barreiros</t>
  </si>
  <si>
    <t>Respiratória</t>
  </si>
  <si>
    <t>asma</t>
  </si>
  <si>
    <t>Respiratório</t>
  </si>
  <si>
    <t>agitação /heteroagressividade</t>
  </si>
  <si>
    <t>Transferência_para_outro_hospital</t>
  </si>
  <si>
    <t>sem seguimento</t>
  </si>
  <si>
    <t>Enxaqueca</t>
  </si>
  <si>
    <t>Trauma crânio-encefálico</t>
  </si>
  <si>
    <t>perde seguimento em outubro de 2023</t>
  </si>
  <si>
    <t>Carolina Nascimento Rivero</t>
  </si>
  <si>
    <t>oncológica</t>
  </si>
  <si>
    <t>choque sético</t>
  </si>
  <si>
    <t>pertubação do sono</t>
  </si>
  <si>
    <t>Santiago Sotto Maior da Costa</t>
  </si>
  <si>
    <t>Alteração comportamento</t>
  </si>
  <si>
    <t>Outro</t>
  </si>
  <si>
    <t>alteração do comportamento / somatização</t>
  </si>
  <si>
    <t>última consulta em abril 2022, perdemos seguimento, seguido no privado</t>
  </si>
  <si>
    <t>Miguel Gomes Rodrigues Henriques Ramos</t>
  </si>
  <si>
    <t>perturbação depressiva major</t>
  </si>
  <si>
    <t>Ingestão</t>
  </si>
  <si>
    <t>ideação suicida</t>
  </si>
  <si>
    <t xml:space="preserve">observação pela pedopsiquiatria e psicologia e medicação </t>
  </si>
  <si>
    <t>perdeu seguimento (última consulta em junho de 2023)</t>
  </si>
  <si>
    <t>Sistema nervoso central</t>
  </si>
  <si>
    <t>perturbação do sono</t>
  </si>
  <si>
    <t>Alta_domicílio</t>
  </si>
  <si>
    <t>Respiratória, Dermatomiosite</t>
  </si>
  <si>
    <t>Dermatomiosite juvenil (MDA5 positivo)</t>
  </si>
  <si>
    <t xml:space="preserve">agitação com periodos de sedação </t>
  </si>
  <si>
    <t xml:space="preserve">observação da pedopsiquiatria e psicologia </t>
  </si>
  <si>
    <t>Óbito</t>
  </si>
  <si>
    <t>sem seguimento (faleceu)</t>
  </si>
  <si>
    <t>Trombose de Seio Venoso</t>
  </si>
  <si>
    <t>agitação psicomotora , labilidade emocional e ansiedade</t>
  </si>
  <si>
    <t>mantém seguimento Uúltima consulta julho de 2025 e próxima consulta em janeiro de 2026</t>
  </si>
  <si>
    <t>Aneurisma Cerebral</t>
  </si>
  <si>
    <t>Delirium e ansiedade</t>
  </si>
  <si>
    <t xml:space="preserve">teve alta a 23/04/2024 da consulta de psiquiatria </t>
  </si>
  <si>
    <t>PHDA</t>
  </si>
  <si>
    <t>Obstrução Via Aérea Superior</t>
  </si>
  <si>
    <t>Pesadelos em relação com a situação traumática que viveu</t>
  </si>
  <si>
    <t>observação pela psicologia</t>
  </si>
  <si>
    <t>mantem seguimento no hospital da área de residencia</t>
  </si>
  <si>
    <t>Iara Isabel Santos Estevão</t>
  </si>
  <si>
    <t>Pneumonia necrotizante à direita</t>
  </si>
  <si>
    <t>alteração do comportamento</t>
  </si>
  <si>
    <t>Observação por psiquiatria e encaminhamento psicologia</t>
  </si>
  <si>
    <t xml:space="preserve">não teve seguimento </t>
  </si>
  <si>
    <t>Liliana Sequeira Correia</t>
  </si>
  <si>
    <t xml:space="preserve">dermatológica </t>
  </si>
  <si>
    <t>politrauma</t>
  </si>
  <si>
    <t>Por labilidade emocional e humor tendencialmente depressivo</t>
  </si>
  <si>
    <t>Medicação_psiquiátrica e observação da psicologia</t>
  </si>
  <si>
    <t>mantém seguimento (última consulta fevereiro de 2025)</t>
  </si>
  <si>
    <t>Maria Madalena Pereira Marcos</t>
  </si>
  <si>
    <t>cardiovascular,respiratória,Síndrome Polimalformativo , Síndrome linfedema-distiquiase</t>
  </si>
  <si>
    <t>PACS e atelectasia bilateral</t>
  </si>
  <si>
    <t>agitação psicomotora</t>
  </si>
  <si>
    <t xml:space="preserve">Medicação_psiquiátrica </t>
  </si>
  <si>
    <t>perdeu seguimento (última consulta 2024 em internamento em cirurgia)</t>
  </si>
  <si>
    <t>Dificuldades de aprendizagem / PDI ligeira</t>
  </si>
  <si>
    <t>delirium , agitação psicomotora, tentativa de suicidio</t>
  </si>
  <si>
    <t>pelos registos da rede pública, perde seguimento (última consulta julho de 2024)</t>
  </si>
  <si>
    <t xml:space="preserve"> Laurida Natasha Souza Bulhões</t>
  </si>
  <si>
    <t xml:space="preserve">Estenose congénita do canal auditivo externo esquerdo </t>
  </si>
  <si>
    <t>Leucoencefalopatia tóxica</t>
  </si>
  <si>
    <t>última consulta de pedopsiquiatria 24/09/2024</t>
  </si>
  <si>
    <t>Afonso Cartó Correia</t>
  </si>
  <si>
    <t>Rombencefalite/mielite de etiologia desconhecida</t>
  </si>
  <si>
    <t>ansiedade e perturbação do sono</t>
  </si>
  <si>
    <t>última consulta a 24/11/2024 mantém seguimento??</t>
  </si>
  <si>
    <t>hematológica, cardiovascular</t>
  </si>
  <si>
    <t>Perturbação da ansiedade reativa e Humor depressivo</t>
  </si>
  <si>
    <t>Pós-op lobectomia esquerda</t>
  </si>
  <si>
    <t xml:space="preserve">Ansiedade </t>
  </si>
  <si>
    <t xml:space="preserve">observação pedopsiquiatria e psicologia </t>
  </si>
  <si>
    <t>episódios de ideação suicida, comportamentos auto-lesivos e disforia de género.</t>
  </si>
  <si>
    <t>politraumatismo</t>
  </si>
  <si>
    <t>mantém seguimento ( última consulta em novembro de 2025 e próxima em 2025)</t>
  </si>
  <si>
    <t>Andrea Daniela Kiluanga Inacio</t>
  </si>
  <si>
    <t>politrasumatismo</t>
  </si>
  <si>
    <t>mantem seguimento ( última consulta em agosto de 2025 e próxima em dezembro de 2025)</t>
  </si>
  <si>
    <t>Francisco Dinis Ramalho Lourenço</t>
  </si>
  <si>
    <t xml:space="preserve">Obstrução grave da via aérea superior (subglótica) de etiologia em estudo </t>
  </si>
  <si>
    <t>observação em consulta</t>
  </si>
  <si>
    <t>perdeu seguimento (faltou a última consulta em setembro de 2022 e a última consulta foi em julho de 2022</t>
  </si>
  <si>
    <t>Roncopatia com apneia obstrutiva ,Pseudo-hipoparatiroidismo, Malformação de Chiari com hidrocefalia obstrutiva,Acrodisostose tipo I-A</t>
  </si>
  <si>
    <t xml:space="preserve">dificuldades de aprendizagem </t>
  </si>
  <si>
    <t xml:space="preserve">Pós-operatório de ventriculostomia endoscópica do pavimento do III ventrículo </t>
  </si>
  <si>
    <t>durante sono</t>
  </si>
  <si>
    <t>perturbação do pânico</t>
  </si>
  <si>
    <t>última consulta a 9/10/2025 e próxima em 2026 8mantém seguimento)</t>
  </si>
  <si>
    <t>psiquiatrica</t>
  </si>
  <si>
    <t xml:space="preserve">Episódios de automutilação, episódio de ingestão medicamentosa voluntária </t>
  </si>
  <si>
    <t>Trauma penetrante com laceração da veia subclávia esquerda</t>
  </si>
  <si>
    <t>alegada agressão</t>
  </si>
  <si>
    <t>última consulta a 18/10/2022 perde seguimento na rede pública</t>
  </si>
  <si>
    <t>Mariana Sofia Ramos Silva</t>
  </si>
  <si>
    <t>Politraumatismo em contexto de queda de 3º andar</t>
  </si>
  <si>
    <t>suspeita de tentativa de suicidio</t>
  </si>
  <si>
    <t xml:space="preserve">tem alta da pedopsiquiatria em 29/05/2024 e mantem seguimento da psicologia </t>
  </si>
  <si>
    <t>psiquiátrica</t>
  </si>
  <si>
    <t xml:space="preserve">PHDA e comportamento agressivo </t>
  </si>
  <si>
    <t>Politraumatismo</t>
  </si>
  <si>
    <t>acidente, luto</t>
  </si>
  <si>
    <t>última consulta 21 de setembro de 2021, depois mantem seguimento em Beja (pedopsiquiatria em Beja e psicologia no privado)</t>
  </si>
  <si>
    <t>Metabólico</t>
  </si>
  <si>
    <t>Motivo_consulta_psiquiatria</t>
  </si>
  <si>
    <t>Delirium</t>
  </si>
  <si>
    <t>Agitação/Comportamento_violento</t>
  </si>
  <si>
    <t>Ideação_suicida/Intento</t>
  </si>
  <si>
    <t>Automutilação</t>
  </si>
  <si>
    <t>Alteração_comportamento</t>
  </si>
  <si>
    <t>Depressão</t>
  </si>
  <si>
    <t>Ansiedade</t>
  </si>
  <si>
    <t>Reação_à_doença</t>
  </si>
  <si>
    <t>Agressividade</t>
  </si>
  <si>
    <t>ptsd</t>
  </si>
  <si>
    <t>Intervenção_inicial</t>
  </si>
  <si>
    <t>Observação em consulta</t>
  </si>
  <si>
    <t>Medicação_psiquiátrica</t>
  </si>
  <si>
    <t>Encaminhamento_psicologia</t>
  </si>
  <si>
    <t>Psicoeducação_família</t>
  </si>
  <si>
    <t>Contenção_física</t>
  </si>
  <si>
    <t>Ajuste_sedação</t>
  </si>
  <si>
    <t>Alta_UCIP_destino</t>
  </si>
  <si>
    <t>alta outro serviço</t>
  </si>
  <si>
    <t>Sim_Não</t>
  </si>
  <si>
    <t>Perturbação de ansiedade</t>
  </si>
  <si>
    <t>Perturbação depressiva</t>
  </si>
  <si>
    <t>PDHA</t>
  </si>
  <si>
    <t>austismo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</si>
</sst>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rgb="FF000000"/>
      <name val="&quot;Verdana&quot;"/>
    </font>
    <font>
      <sz val="9.0"/>
      <color theme="1"/>
      <name val="&quot;Verdana&quot;"/>
    </font>
    <font>
      <color rgb="FF000000"/>
      <name val="&quot;Verdana&quot;"/>
    </font>
    <font>
      <sz val="9.0"/>
      <color rgb="FF000000"/>
      <name val="Verdana"/>
    </font>
    <font>
      <b/>
      <sz val="9.0"/>
      <color theme="1"/>
      <name val="&quot;Verdana&quot;"/>
    </font>
    <font>
      <sz val="11.0"/>
      <color rgb="FF000000"/>
      <name val="Calibri"/>
    </font>
    <font>
      <color rgb="FF000000"/>
      <name val="Calibri"/>
    </font>
    <font>
      <sz val="11.0"/>
      <color rgb="FF000000"/>
      <name val="Calibri"/>
      <scheme val="minor"/>
    </font>
    <font>
      <color rgb="FF000000"/>
      <name val="Calibri"/>
      <scheme val="minor"/>
    </font>
    <font>
      <u/>
      <sz val="9.0"/>
      <color rgb="FF000000"/>
      <name val="&quot;Verdana&quot;"/>
    </font>
    <font>
      <b/>
      <sz val="9.0"/>
      <color rgb="FF000000"/>
      <name val="&quot;Verdana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2767816.0</v>
      </c>
      <c r="C2" s="1">
        <v>2024.0</v>
      </c>
    </row>
    <row r="3">
      <c r="A3" s="1" t="s">
        <v>4</v>
      </c>
      <c r="B3" s="1">
        <v>3124774.0</v>
      </c>
      <c r="C3" s="1">
        <v>2024.0</v>
      </c>
    </row>
    <row r="4">
      <c r="A4" s="1" t="s">
        <v>5</v>
      </c>
      <c r="B4" s="1">
        <v>1828717.0</v>
      </c>
      <c r="C4" s="1">
        <v>2024.0</v>
      </c>
    </row>
    <row r="5">
      <c r="A5" s="1" t="s">
        <v>6</v>
      </c>
      <c r="B5" s="1">
        <v>3117144.0</v>
      </c>
      <c r="C5" s="1">
        <v>2024.0</v>
      </c>
    </row>
    <row r="6">
      <c r="A6" s="1" t="s">
        <v>7</v>
      </c>
      <c r="B6" s="1">
        <v>3098348.0</v>
      </c>
      <c r="C6" s="1">
        <v>2024.0</v>
      </c>
    </row>
    <row r="7">
      <c r="A7" s="1" t="s">
        <v>8</v>
      </c>
      <c r="B7" s="1">
        <v>1886150.0</v>
      </c>
      <c r="C7" s="1">
        <v>2024.0</v>
      </c>
    </row>
    <row r="8">
      <c r="A8" s="2" t="s">
        <v>9</v>
      </c>
      <c r="B8" s="3">
        <v>3159521.0</v>
      </c>
      <c r="C8" s="1">
        <v>2024.0</v>
      </c>
    </row>
    <row r="9">
      <c r="A9" s="2" t="s">
        <v>10</v>
      </c>
      <c r="B9" s="2">
        <v>2661513.0</v>
      </c>
      <c r="C9" s="1">
        <v>2024.0</v>
      </c>
    </row>
    <row r="10">
      <c r="A10" s="2" t="s">
        <v>11</v>
      </c>
      <c r="B10" s="2">
        <v>2172620.0</v>
      </c>
      <c r="C10" s="1">
        <v>2024.0</v>
      </c>
    </row>
    <row r="11">
      <c r="A11" s="1" t="s">
        <v>12</v>
      </c>
      <c r="B11" s="1">
        <v>3011492.0</v>
      </c>
      <c r="C11" s="1">
        <v>2023.0</v>
      </c>
      <c r="D11" s="4" t="str">
        <f t="shared" ref="D11:D14" si="1">IF(AND(C11&lt;&gt;"",H11&lt;&gt;""),DATEDIF(C11,H11,"y"),"")</f>
        <v/>
      </c>
    </row>
    <row r="12">
      <c r="A12" s="2" t="s">
        <v>13</v>
      </c>
      <c r="B12" s="2">
        <v>3045554.0</v>
      </c>
      <c r="C12" s="1">
        <v>2023.0</v>
      </c>
      <c r="D12" s="4" t="str">
        <f t="shared" si="1"/>
        <v/>
      </c>
    </row>
    <row r="13">
      <c r="A13" s="3" t="s">
        <v>14</v>
      </c>
      <c r="B13" s="2">
        <v>1907821.0</v>
      </c>
      <c r="C13" s="2">
        <v>2023.0</v>
      </c>
      <c r="D13" s="4" t="str">
        <f t="shared" si="1"/>
        <v/>
      </c>
    </row>
    <row r="14">
      <c r="A14" s="3" t="s">
        <v>15</v>
      </c>
      <c r="B14" s="2">
        <v>1223293.0</v>
      </c>
      <c r="C14" s="2">
        <v>2023.0</v>
      </c>
      <c r="D14" s="4" t="str">
        <f t="shared" si="1"/>
        <v/>
      </c>
    </row>
    <row r="15">
      <c r="A15" s="5" t="s">
        <v>16</v>
      </c>
      <c r="B15" s="5">
        <v>2979773.0</v>
      </c>
      <c r="C15" s="1">
        <v>2023.0</v>
      </c>
    </row>
    <row r="16">
      <c r="A16" s="1" t="s">
        <v>17</v>
      </c>
      <c r="B16" s="1">
        <v>1169619.0</v>
      </c>
      <c r="C16" s="1">
        <v>2023.0</v>
      </c>
    </row>
    <row r="17">
      <c r="A17" s="2" t="s">
        <v>18</v>
      </c>
      <c r="B17" s="2">
        <v>1627226.0</v>
      </c>
      <c r="C17" s="1">
        <v>2023.0</v>
      </c>
    </row>
    <row r="18">
      <c r="A18" s="1" t="s">
        <v>19</v>
      </c>
      <c r="B18" s="1">
        <v>3080699.0</v>
      </c>
      <c r="C18" s="1">
        <v>2023.0</v>
      </c>
    </row>
    <row r="19">
      <c r="A19" s="5" t="s">
        <v>20</v>
      </c>
      <c r="C19" s="1">
        <v>2023.0</v>
      </c>
    </row>
    <row r="20">
      <c r="A20" s="5" t="s">
        <v>21</v>
      </c>
      <c r="B20" s="2">
        <v>2955794.0</v>
      </c>
      <c r="C20" s="1">
        <v>2023.0</v>
      </c>
    </row>
    <row r="21">
      <c r="A21" s="2" t="s">
        <v>22</v>
      </c>
      <c r="B21" s="2">
        <v>2526790.0</v>
      </c>
      <c r="C21" s="1">
        <v>2023.0</v>
      </c>
    </row>
    <row r="22">
      <c r="A22" s="1" t="s">
        <v>23</v>
      </c>
      <c r="B22" s="1">
        <v>2970370.0</v>
      </c>
      <c r="C22" s="1">
        <v>2022.0</v>
      </c>
    </row>
    <row r="23">
      <c r="A23" s="5" t="s">
        <v>24</v>
      </c>
      <c r="B23" s="5">
        <v>2953853.0</v>
      </c>
      <c r="C23" s="1">
        <v>2022.0</v>
      </c>
    </row>
    <row r="24">
      <c r="A24" s="5" t="s">
        <v>25</v>
      </c>
      <c r="B24" s="5">
        <v>1100261.0</v>
      </c>
      <c r="C24" s="1">
        <v>2022.0</v>
      </c>
    </row>
    <row r="25">
      <c r="A25" s="5" t="s">
        <v>26</v>
      </c>
      <c r="B25" s="5">
        <v>2890115.0</v>
      </c>
      <c r="C25" s="1">
        <v>2022.0</v>
      </c>
    </row>
    <row r="26">
      <c r="A26" s="5" t="s">
        <v>27</v>
      </c>
      <c r="B26" s="5">
        <v>2890345.0</v>
      </c>
      <c r="C26" s="1">
        <v>2022.0</v>
      </c>
    </row>
    <row r="27">
      <c r="A27" s="5" t="s">
        <v>28</v>
      </c>
      <c r="B27" s="5">
        <v>1950763.0</v>
      </c>
      <c r="C27" s="1">
        <v>2022.0</v>
      </c>
    </row>
    <row r="28">
      <c r="A28" s="1" t="s">
        <v>29</v>
      </c>
      <c r="B28" s="2">
        <v>2877293.0</v>
      </c>
      <c r="C28" s="1">
        <v>2022.0</v>
      </c>
    </row>
    <row r="29">
      <c r="A29" s="5" t="s">
        <v>30</v>
      </c>
      <c r="B29" s="5">
        <v>2867938.0</v>
      </c>
      <c r="C29" s="1">
        <v>2021.0</v>
      </c>
    </row>
    <row r="30">
      <c r="A30" s="6" t="s">
        <v>31</v>
      </c>
      <c r="B30" s="6">
        <v>2546445.0</v>
      </c>
      <c r="C30" s="1">
        <v>2021.0</v>
      </c>
    </row>
    <row r="31">
      <c r="A31" s="5" t="s">
        <v>32</v>
      </c>
      <c r="B31" s="5">
        <v>2833840.0</v>
      </c>
      <c r="C31" s="1">
        <v>2021.0</v>
      </c>
    </row>
    <row r="32">
      <c r="A32" s="1" t="s">
        <v>33</v>
      </c>
      <c r="B32" s="5">
        <v>2823448.0</v>
      </c>
      <c r="C32" s="1">
        <v>2021.0</v>
      </c>
    </row>
    <row r="33">
      <c r="A33" s="1" t="s">
        <v>34</v>
      </c>
      <c r="B33" s="5">
        <v>1816067.0</v>
      </c>
      <c r="C33" s="1">
        <v>2021.0</v>
      </c>
    </row>
    <row r="34">
      <c r="A34" s="5" t="s">
        <v>35</v>
      </c>
      <c r="B34" s="5">
        <v>2777863.0</v>
      </c>
      <c r="C34" s="1">
        <v>2021.0</v>
      </c>
    </row>
    <row r="35">
      <c r="A35" s="2" t="s">
        <v>36</v>
      </c>
      <c r="B35" s="6">
        <v>1327983.0</v>
      </c>
      <c r="C35" s="1">
        <v>2021.0</v>
      </c>
    </row>
    <row r="36">
      <c r="A36" s="2" t="s">
        <v>37</v>
      </c>
      <c r="B36" s="2">
        <v>1849104.0</v>
      </c>
      <c r="C36" s="1">
        <v>2021.0</v>
      </c>
    </row>
    <row r="37">
      <c r="A37" s="7" t="s">
        <v>38</v>
      </c>
      <c r="B37" s="8" t="s">
        <v>39</v>
      </c>
      <c r="C37" s="1">
        <v>2025.0</v>
      </c>
    </row>
    <row r="38">
      <c r="A38" s="7" t="s">
        <v>40</v>
      </c>
      <c r="B38" s="4">
        <v>3240498.0</v>
      </c>
      <c r="C38" s="1">
        <v>2025.0</v>
      </c>
    </row>
    <row r="39">
      <c r="A39" s="7" t="s">
        <v>41</v>
      </c>
      <c r="B39" s="2">
        <v>3291718.0</v>
      </c>
      <c r="C39" s="1">
        <v>2025.0</v>
      </c>
    </row>
    <row r="40">
      <c r="A40" s="8" t="s">
        <v>42</v>
      </c>
      <c r="B40" s="2">
        <v>3321029.0</v>
      </c>
      <c r="C40" s="1">
        <v>2025.0</v>
      </c>
    </row>
    <row r="41">
      <c r="A41" s="7" t="s">
        <v>43</v>
      </c>
      <c r="B41" s="7">
        <v>3245454.0</v>
      </c>
      <c r="C41" s="1">
        <v>2025.0</v>
      </c>
    </row>
    <row r="42">
      <c r="A42" s="9" t="s">
        <v>44</v>
      </c>
      <c r="B42" s="5">
        <v>1691963.0</v>
      </c>
      <c r="C42" s="1">
        <v>2022.0</v>
      </c>
    </row>
    <row r="43">
      <c r="A43" s="9" t="s">
        <v>25</v>
      </c>
      <c r="B43" s="5">
        <v>1100261.0</v>
      </c>
      <c r="C43" s="1">
        <v>2022.0</v>
      </c>
    </row>
    <row r="44">
      <c r="A44" s="2" t="s">
        <v>45</v>
      </c>
      <c r="B44" s="2">
        <v>3108447.0</v>
      </c>
      <c r="C44" s="1">
        <v>2025.0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5" width="8.71"/>
    <col customWidth="1" min="6" max="6" width="14.57"/>
    <col customWidth="1" min="7" max="7" width="31.0"/>
    <col customWidth="1" min="8" max="23" width="8.71"/>
  </cols>
  <sheetData>
    <row r="1">
      <c r="A1" s="1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1" t="s">
        <v>51</v>
      </c>
      <c r="G1" s="1" t="s">
        <v>52</v>
      </c>
      <c r="H1" s="1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/>
      <c r="T1" s="4" t="s">
        <v>64</v>
      </c>
      <c r="U1" s="4" t="s">
        <v>65</v>
      </c>
      <c r="V1" s="1" t="s">
        <v>66</v>
      </c>
      <c r="W1" s="1" t="s">
        <v>67</v>
      </c>
    </row>
    <row r="2">
      <c r="A2" s="7" t="s">
        <v>43</v>
      </c>
      <c r="B2" s="7">
        <v>3245454.0</v>
      </c>
      <c r="C2" s="10">
        <v>40605.0</v>
      </c>
      <c r="D2" s="4">
        <f>IF(AND(C2&lt;&gt;"",I2&lt;&gt;""),DATEDIF(C2,I2,"y"),"")</f>
        <v>14</v>
      </c>
      <c r="E2" s="1" t="s">
        <v>68</v>
      </c>
      <c r="F2" s="1" t="s">
        <v>69</v>
      </c>
      <c r="G2" s="1" t="s">
        <v>70</v>
      </c>
      <c r="H2" s="1" t="s">
        <v>71</v>
      </c>
      <c r="I2" s="11">
        <v>45756.0</v>
      </c>
      <c r="J2" s="12">
        <v>45759.0</v>
      </c>
      <c r="K2" s="1">
        <v>4.0</v>
      </c>
      <c r="L2" s="2" t="s">
        <v>72</v>
      </c>
      <c r="M2" s="1" t="s">
        <v>73</v>
      </c>
      <c r="N2" s="1" t="s">
        <v>74</v>
      </c>
      <c r="O2" s="1">
        <v>2.0</v>
      </c>
      <c r="P2" s="1" t="s">
        <v>74</v>
      </c>
      <c r="Q2" s="1">
        <v>4.0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70</v>
      </c>
      <c r="W2" s="1" t="s">
        <v>79</v>
      </c>
    </row>
    <row r="3">
      <c r="A3" s="13" t="s">
        <v>80</v>
      </c>
      <c r="B3" s="2">
        <v>3289879.0</v>
      </c>
      <c r="C3" s="10">
        <v>39662.0</v>
      </c>
      <c r="D3" s="1">
        <v>17.0</v>
      </c>
      <c r="E3" s="1" t="s">
        <v>81</v>
      </c>
      <c r="F3" s="1" t="s">
        <v>77</v>
      </c>
      <c r="G3" s="1" t="s">
        <v>77</v>
      </c>
      <c r="I3" s="11">
        <v>45908.0</v>
      </c>
      <c r="J3" s="12">
        <v>45918.0</v>
      </c>
      <c r="K3" s="1">
        <v>11.0</v>
      </c>
      <c r="L3" s="2" t="s">
        <v>82</v>
      </c>
      <c r="M3" s="1" t="s">
        <v>83</v>
      </c>
      <c r="N3" s="1" t="s">
        <v>84</v>
      </c>
      <c r="O3" s="1">
        <v>9.0</v>
      </c>
      <c r="P3" s="1" t="s">
        <v>74</v>
      </c>
      <c r="Q3" s="1">
        <v>11.0</v>
      </c>
      <c r="R3" s="1" t="s">
        <v>85</v>
      </c>
      <c r="S3" s="1" t="s">
        <v>86</v>
      </c>
      <c r="T3" s="1" t="s">
        <v>70</v>
      </c>
      <c r="U3" s="1" t="s">
        <v>78</v>
      </c>
      <c r="V3" s="1" t="s">
        <v>70</v>
      </c>
      <c r="W3" s="1" t="s">
        <v>87</v>
      </c>
    </row>
    <row r="4">
      <c r="A4" s="14" t="s">
        <v>88</v>
      </c>
      <c r="B4" s="4">
        <v>3211780.0</v>
      </c>
      <c r="C4" s="10">
        <v>39613.0</v>
      </c>
      <c r="D4" s="4">
        <f t="shared" ref="D4:D7" si="1">IF(AND(C4&lt;&gt;"",I4&lt;&gt;""),DATEDIF(C4,I4,"y"),"")</f>
        <v>16</v>
      </c>
      <c r="E4" s="1" t="s">
        <v>81</v>
      </c>
      <c r="F4" s="1" t="s">
        <v>89</v>
      </c>
      <c r="G4" s="1" t="s">
        <v>77</v>
      </c>
      <c r="I4" s="15">
        <v>45643.0</v>
      </c>
      <c r="J4" s="10">
        <v>45825.0</v>
      </c>
      <c r="K4" s="4">
        <f t="shared" ref="K4:K7" si="2">IF(AND(I4&lt;&gt;"",J4&lt;&gt;""),DATEDIF(I4,J4,"d"),"")</f>
        <v>182</v>
      </c>
      <c r="L4" s="1" t="s">
        <v>90</v>
      </c>
      <c r="M4" s="1" t="s">
        <v>91</v>
      </c>
      <c r="N4" s="1" t="s">
        <v>84</v>
      </c>
      <c r="O4" s="1">
        <v>85.0</v>
      </c>
      <c r="P4" s="1" t="s">
        <v>74</v>
      </c>
      <c r="Q4" s="1">
        <v>152.0</v>
      </c>
      <c r="R4" s="1" t="s">
        <v>92</v>
      </c>
      <c r="S4" s="1" t="s">
        <v>93</v>
      </c>
      <c r="T4" s="1" t="s">
        <v>70</v>
      </c>
      <c r="U4" s="1" t="s">
        <v>78</v>
      </c>
      <c r="V4" s="1" t="s">
        <v>77</v>
      </c>
      <c r="W4" s="1" t="s">
        <v>94</v>
      </c>
    </row>
    <row r="5">
      <c r="A5" s="7" t="s">
        <v>40</v>
      </c>
      <c r="B5" s="4">
        <v>3240498.0</v>
      </c>
      <c r="C5" s="10">
        <v>39689.0</v>
      </c>
      <c r="D5" s="4">
        <f t="shared" si="1"/>
        <v>16</v>
      </c>
      <c r="E5" s="1" t="s">
        <v>81</v>
      </c>
      <c r="F5" s="1" t="s">
        <v>95</v>
      </c>
      <c r="G5" s="1" t="s">
        <v>70</v>
      </c>
      <c r="H5" s="1" t="s">
        <v>96</v>
      </c>
      <c r="I5" s="10">
        <v>45845.0</v>
      </c>
      <c r="J5" s="10">
        <v>45846.0</v>
      </c>
      <c r="K5" s="4">
        <f t="shared" si="2"/>
        <v>1</v>
      </c>
      <c r="L5" s="1" t="s">
        <v>97</v>
      </c>
      <c r="M5" s="1" t="s">
        <v>98</v>
      </c>
      <c r="N5" s="1" t="s">
        <v>89</v>
      </c>
      <c r="O5" s="1">
        <v>0.0</v>
      </c>
      <c r="P5" s="1" t="s">
        <v>89</v>
      </c>
      <c r="Q5" s="1">
        <v>0.0</v>
      </c>
      <c r="R5" s="1" t="s">
        <v>99</v>
      </c>
      <c r="S5" s="1" t="s">
        <v>100</v>
      </c>
      <c r="T5" s="1" t="s">
        <v>70</v>
      </c>
      <c r="U5" s="1" t="s">
        <v>101</v>
      </c>
      <c r="V5" s="1" t="s">
        <v>70</v>
      </c>
      <c r="W5" s="1" t="s">
        <v>102</v>
      </c>
    </row>
    <row r="6">
      <c r="A6" s="7" t="s">
        <v>41</v>
      </c>
      <c r="B6" s="8">
        <v>3291718.0</v>
      </c>
      <c r="C6" s="12">
        <v>41064.0</v>
      </c>
      <c r="D6" s="4">
        <f t="shared" si="1"/>
        <v>13</v>
      </c>
      <c r="E6" s="1" t="s">
        <v>81</v>
      </c>
      <c r="F6" s="1" t="s">
        <v>103</v>
      </c>
      <c r="G6" s="1" t="s">
        <v>70</v>
      </c>
      <c r="H6" s="2" t="s">
        <v>103</v>
      </c>
      <c r="I6" s="12">
        <v>45906.0</v>
      </c>
      <c r="J6" s="12">
        <v>45908.0</v>
      </c>
      <c r="K6" s="4">
        <f t="shared" si="2"/>
        <v>2</v>
      </c>
      <c r="L6" s="1" t="s">
        <v>104</v>
      </c>
      <c r="M6" s="1" t="s">
        <v>83</v>
      </c>
      <c r="N6" s="1" t="s">
        <v>74</v>
      </c>
      <c r="O6" s="1">
        <v>1.0</v>
      </c>
      <c r="P6" s="1" t="s">
        <v>84</v>
      </c>
      <c r="Q6" s="1">
        <v>2.0</v>
      </c>
      <c r="R6" s="1" t="s">
        <v>105</v>
      </c>
      <c r="S6" s="1" t="s">
        <v>106</v>
      </c>
      <c r="T6" s="1" t="s">
        <v>70</v>
      </c>
      <c r="U6" s="1" t="s">
        <v>78</v>
      </c>
      <c r="V6" s="1" t="s">
        <v>70</v>
      </c>
      <c r="W6" s="1" t="s">
        <v>107</v>
      </c>
    </row>
    <row r="7">
      <c r="A7" s="7" t="s">
        <v>108</v>
      </c>
      <c r="B7" s="7">
        <v>3287672.0</v>
      </c>
      <c r="C7" s="15">
        <v>39825.0</v>
      </c>
      <c r="D7" s="4">
        <f t="shared" si="1"/>
        <v>16</v>
      </c>
      <c r="E7" s="1" t="s">
        <v>68</v>
      </c>
      <c r="F7" s="1" t="s">
        <v>89</v>
      </c>
      <c r="G7" s="1" t="s">
        <v>77</v>
      </c>
      <c r="H7" s="16"/>
      <c r="I7" s="15">
        <v>45893.0</v>
      </c>
      <c r="J7" s="10">
        <v>45917.0</v>
      </c>
      <c r="K7" s="4">
        <f t="shared" si="2"/>
        <v>24</v>
      </c>
      <c r="L7" s="1" t="s">
        <v>109</v>
      </c>
      <c r="M7" s="1" t="s">
        <v>110</v>
      </c>
      <c r="N7" s="1" t="s">
        <v>74</v>
      </c>
      <c r="O7" s="1">
        <v>21.0</v>
      </c>
      <c r="P7" s="1" t="s">
        <v>74</v>
      </c>
      <c r="Q7" s="1">
        <v>24.0</v>
      </c>
      <c r="R7" s="1" t="s">
        <v>111</v>
      </c>
      <c r="S7" s="1" t="s">
        <v>86</v>
      </c>
      <c r="T7" s="1" t="s">
        <v>70</v>
      </c>
      <c r="U7" s="1" t="s">
        <v>78</v>
      </c>
      <c r="V7" s="1" t="s">
        <v>70</v>
      </c>
      <c r="W7" s="1" t="s">
        <v>112</v>
      </c>
    </row>
    <row r="8">
      <c r="A8" s="2" t="s">
        <v>113</v>
      </c>
      <c r="B8" s="2">
        <v>3252231.0</v>
      </c>
      <c r="C8" s="11">
        <v>41940.0</v>
      </c>
      <c r="D8" s="1">
        <v>11.0</v>
      </c>
      <c r="E8" s="1" t="s">
        <v>81</v>
      </c>
      <c r="F8" s="2" t="s">
        <v>114</v>
      </c>
      <c r="G8" s="1" t="s">
        <v>70</v>
      </c>
      <c r="H8" s="2" t="s">
        <v>115</v>
      </c>
      <c r="I8" s="11">
        <v>46000.0</v>
      </c>
      <c r="J8" s="12">
        <v>46002.0</v>
      </c>
      <c r="K8" s="1">
        <v>3.0</v>
      </c>
      <c r="L8" s="3" t="s">
        <v>116</v>
      </c>
      <c r="M8" s="1" t="s">
        <v>83</v>
      </c>
      <c r="N8" s="1" t="s">
        <v>89</v>
      </c>
      <c r="O8" s="1">
        <v>0.0</v>
      </c>
      <c r="P8" s="1" t="s">
        <v>74</v>
      </c>
      <c r="Q8" s="1">
        <v>3.0</v>
      </c>
      <c r="R8" s="1" t="s">
        <v>117</v>
      </c>
      <c r="S8" s="1" t="s">
        <v>100</v>
      </c>
      <c r="T8" s="1" t="s">
        <v>77</v>
      </c>
      <c r="U8" s="1" t="s">
        <v>78</v>
      </c>
      <c r="V8" s="1" t="s">
        <v>70</v>
      </c>
      <c r="W8" s="1" t="s">
        <v>118</v>
      </c>
    </row>
    <row r="9">
      <c r="A9" s="2" t="s">
        <v>119</v>
      </c>
      <c r="B9" s="2">
        <v>3322156.0</v>
      </c>
      <c r="C9" s="11">
        <v>40647.0</v>
      </c>
      <c r="D9" s="1">
        <v>14.0</v>
      </c>
      <c r="E9" s="1" t="s">
        <v>81</v>
      </c>
      <c r="F9" s="2" t="s">
        <v>120</v>
      </c>
      <c r="G9" s="1" t="s">
        <v>77</v>
      </c>
      <c r="H9" s="2" t="s">
        <v>121</v>
      </c>
      <c r="I9" s="11">
        <v>46022.0</v>
      </c>
      <c r="J9" s="10">
        <v>46024.0</v>
      </c>
      <c r="K9" s="1">
        <v>3.0</v>
      </c>
      <c r="L9" s="3" t="s">
        <v>122</v>
      </c>
      <c r="M9" s="1" t="s">
        <v>83</v>
      </c>
      <c r="N9" s="1" t="s">
        <v>74</v>
      </c>
      <c r="O9" s="1">
        <v>2.0</v>
      </c>
      <c r="P9" s="1" t="s">
        <v>74</v>
      </c>
      <c r="Q9" s="1">
        <v>3.0</v>
      </c>
      <c r="R9" s="1" t="s">
        <v>123</v>
      </c>
      <c r="S9" s="1" t="s">
        <v>100</v>
      </c>
      <c r="T9" s="1" t="s">
        <v>77</v>
      </c>
      <c r="U9" s="1" t="s">
        <v>78</v>
      </c>
      <c r="V9" s="1" t="s">
        <v>70</v>
      </c>
      <c r="W9" s="1" t="s">
        <v>118</v>
      </c>
    </row>
    <row r="10">
      <c r="A10" s="1" t="s">
        <v>124</v>
      </c>
      <c r="B10" s="1">
        <v>2864046.0</v>
      </c>
      <c r="C10" s="17">
        <v>43597.0</v>
      </c>
      <c r="D10" s="4">
        <f t="shared" ref="D10:D20" si="3">IF(AND(C10&lt;&gt;"",I10&lt;&gt;""),DATEDIF(C10,I10,"y"),"")</f>
        <v>2</v>
      </c>
      <c r="E10" s="1" t="s">
        <v>68</v>
      </c>
      <c r="F10" s="1" t="s">
        <v>89</v>
      </c>
      <c r="G10" s="1" t="s">
        <v>77</v>
      </c>
      <c r="H10" s="2"/>
      <c r="I10" s="17">
        <v>44538.0</v>
      </c>
      <c r="J10" s="15">
        <v>44557.0</v>
      </c>
      <c r="K10" s="4">
        <f t="shared" ref="K10:K27" si="4">IF(AND(I10&lt;&gt;"",J10&lt;&gt;""),DATEDIF(I10,J10,"d"),"")</f>
        <v>19</v>
      </c>
      <c r="L10" s="1" t="s">
        <v>125</v>
      </c>
      <c r="M10" s="1" t="s">
        <v>83</v>
      </c>
      <c r="N10" s="1" t="s">
        <v>74</v>
      </c>
      <c r="O10" s="1">
        <v>12.0</v>
      </c>
      <c r="P10" s="1" t="s">
        <v>74</v>
      </c>
      <c r="Q10" s="1">
        <v>19.0</v>
      </c>
      <c r="R10" s="1" t="s">
        <v>126</v>
      </c>
      <c r="S10" s="1" t="s">
        <v>106</v>
      </c>
      <c r="T10" s="1" t="s">
        <v>70</v>
      </c>
      <c r="U10" s="1" t="s">
        <v>78</v>
      </c>
      <c r="V10" s="1" t="s">
        <v>77</v>
      </c>
      <c r="W10" s="1" t="s">
        <v>127</v>
      </c>
    </row>
    <row r="11">
      <c r="A11" s="1" t="s">
        <v>128</v>
      </c>
      <c r="B11" s="1">
        <v>2862729.0</v>
      </c>
      <c r="C11" s="17">
        <v>39203.0</v>
      </c>
      <c r="D11" s="4">
        <f t="shared" si="3"/>
        <v>14</v>
      </c>
      <c r="E11" s="1" t="s">
        <v>68</v>
      </c>
      <c r="F11" s="1" t="s">
        <v>129</v>
      </c>
      <c r="G11" s="1" t="s">
        <v>77</v>
      </c>
      <c r="H11" s="17"/>
      <c r="I11" s="17">
        <v>44534.0</v>
      </c>
      <c r="J11" s="18">
        <v>44536.0</v>
      </c>
      <c r="K11" s="4">
        <f t="shared" si="4"/>
        <v>2</v>
      </c>
      <c r="L11" s="1" t="s">
        <v>130</v>
      </c>
      <c r="M11" s="1" t="s">
        <v>83</v>
      </c>
      <c r="N11" s="1" t="s">
        <v>74</v>
      </c>
      <c r="O11" s="1">
        <v>1.0</v>
      </c>
      <c r="P11" s="1" t="s">
        <v>74</v>
      </c>
      <c r="Q11" s="1">
        <v>0.0</v>
      </c>
      <c r="R11" s="1" t="s">
        <v>131</v>
      </c>
      <c r="S11" s="1" t="s">
        <v>132</v>
      </c>
      <c r="T11" s="1" t="s">
        <v>77</v>
      </c>
      <c r="U11" s="1" t="s">
        <v>78</v>
      </c>
      <c r="V11" s="1" t="s">
        <v>70</v>
      </c>
      <c r="W11" s="1" t="s">
        <v>133</v>
      </c>
    </row>
    <row r="12">
      <c r="A12" s="5" t="s">
        <v>35</v>
      </c>
      <c r="B12" s="5">
        <v>2777863.0</v>
      </c>
      <c r="C12" s="17">
        <v>37790.0</v>
      </c>
      <c r="D12" s="4">
        <f t="shared" si="3"/>
        <v>17</v>
      </c>
      <c r="E12" s="1" t="s">
        <v>81</v>
      </c>
      <c r="F12" s="1" t="s">
        <v>89</v>
      </c>
      <c r="G12" s="1" t="s">
        <v>70</v>
      </c>
      <c r="H12" s="5" t="s">
        <v>134</v>
      </c>
      <c r="I12" s="17">
        <v>44347.0</v>
      </c>
      <c r="J12" s="17">
        <v>44351.0</v>
      </c>
      <c r="K12" s="4">
        <f t="shared" si="4"/>
        <v>4</v>
      </c>
      <c r="L12" s="5" t="s">
        <v>135</v>
      </c>
      <c r="M12" s="1" t="s">
        <v>136</v>
      </c>
      <c r="N12" s="1" t="s">
        <v>74</v>
      </c>
      <c r="O12" s="1">
        <v>0.0</v>
      </c>
      <c r="P12" s="1" t="s">
        <v>74</v>
      </c>
      <c r="Q12" s="1">
        <v>4.0</v>
      </c>
      <c r="R12" s="5" t="s">
        <v>137</v>
      </c>
      <c r="S12" s="1" t="s">
        <v>138</v>
      </c>
      <c r="T12" s="1" t="s">
        <v>77</v>
      </c>
      <c r="U12" s="1" t="s">
        <v>78</v>
      </c>
      <c r="V12" s="1" t="s">
        <v>77</v>
      </c>
      <c r="W12" s="1" t="s">
        <v>139</v>
      </c>
    </row>
    <row r="13">
      <c r="A13" s="5" t="s">
        <v>140</v>
      </c>
      <c r="B13" s="5">
        <v>2697720.0</v>
      </c>
      <c r="C13" s="17">
        <v>38428.0</v>
      </c>
      <c r="D13" s="4">
        <f t="shared" si="3"/>
        <v>15</v>
      </c>
      <c r="E13" s="1" t="s">
        <v>68</v>
      </c>
      <c r="F13" s="1" t="s">
        <v>141</v>
      </c>
      <c r="G13" s="1" t="s">
        <v>77</v>
      </c>
      <c r="H13" s="18"/>
      <c r="I13" s="18">
        <v>44227.0</v>
      </c>
      <c r="J13" s="17">
        <v>44227.0</v>
      </c>
      <c r="K13" s="4">
        <f t="shared" si="4"/>
        <v>0</v>
      </c>
      <c r="L13" s="1" t="s">
        <v>142</v>
      </c>
      <c r="M13" s="1" t="s">
        <v>83</v>
      </c>
      <c r="N13" s="1" t="s">
        <v>89</v>
      </c>
      <c r="O13" s="1">
        <v>0.0</v>
      </c>
      <c r="P13" s="1" t="s">
        <v>84</v>
      </c>
      <c r="Q13" s="1">
        <v>1.0</v>
      </c>
      <c r="R13" s="1" t="s">
        <v>143</v>
      </c>
      <c r="S13" s="1" t="s">
        <v>132</v>
      </c>
      <c r="T13" s="1" t="s">
        <v>77</v>
      </c>
      <c r="U13" s="1" t="s">
        <v>78</v>
      </c>
      <c r="V13" s="1" t="s">
        <v>70</v>
      </c>
      <c r="W13" s="1" t="s">
        <v>144</v>
      </c>
    </row>
    <row r="14">
      <c r="A14" s="5" t="s">
        <v>145</v>
      </c>
      <c r="B14" s="5">
        <v>1813774.0</v>
      </c>
      <c r="C14" s="10">
        <v>39995.0</v>
      </c>
      <c r="D14" s="4">
        <f t="shared" si="3"/>
        <v>13</v>
      </c>
      <c r="E14" s="1" t="s">
        <v>68</v>
      </c>
      <c r="F14" s="1" t="s">
        <v>77</v>
      </c>
      <c r="G14" s="1" t="s">
        <v>77</v>
      </c>
      <c r="H14" s="18"/>
      <c r="I14" s="18">
        <v>44915.0</v>
      </c>
      <c r="J14" s="18">
        <v>44938.0</v>
      </c>
      <c r="K14" s="4">
        <f t="shared" si="4"/>
        <v>23</v>
      </c>
      <c r="L14" s="1" t="s">
        <v>146</v>
      </c>
      <c r="M14" s="1" t="s">
        <v>83</v>
      </c>
      <c r="N14" s="1" t="s">
        <v>74</v>
      </c>
      <c r="O14" s="1">
        <v>15.0</v>
      </c>
      <c r="P14" s="1" t="s">
        <v>74</v>
      </c>
      <c r="Q14" s="1">
        <v>23.0</v>
      </c>
      <c r="R14" s="1" t="s">
        <v>147</v>
      </c>
      <c r="S14" s="1" t="s">
        <v>148</v>
      </c>
      <c r="T14" s="1" t="s">
        <v>70</v>
      </c>
      <c r="U14" s="1" t="s">
        <v>78</v>
      </c>
      <c r="V14" s="1" t="s">
        <v>70</v>
      </c>
      <c r="W14" s="1" t="s">
        <v>149</v>
      </c>
    </row>
    <row r="15">
      <c r="A15" s="5" t="s">
        <v>150</v>
      </c>
      <c r="B15" s="5">
        <v>2970370.0</v>
      </c>
      <c r="C15" s="15">
        <v>38678.0</v>
      </c>
      <c r="D15" s="4">
        <f t="shared" si="3"/>
        <v>16</v>
      </c>
      <c r="E15" s="1" t="s">
        <v>68</v>
      </c>
      <c r="F15" s="1" t="s">
        <v>151</v>
      </c>
      <c r="G15" s="1" t="s">
        <v>70</v>
      </c>
      <c r="H15" s="1" t="s">
        <v>152</v>
      </c>
      <c r="I15" s="15">
        <v>44866.0</v>
      </c>
      <c r="J15" s="18">
        <v>44871.0</v>
      </c>
      <c r="K15" s="4">
        <f t="shared" si="4"/>
        <v>5</v>
      </c>
      <c r="L15" s="1" t="s">
        <v>153</v>
      </c>
      <c r="M15" s="1" t="s">
        <v>83</v>
      </c>
      <c r="N15" s="1" t="s">
        <v>74</v>
      </c>
      <c r="O15" s="1">
        <v>2.0</v>
      </c>
      <c r="P15" s="1" t="s">
        <v>84</v>
      </c>
      <c r="Q15" s="1">
        <v>18.0</v>
      </c>
      <c r="R15" s="1" t="s">
        <v>154</v>
      </c>
      <c r="S15" s="1" t="s">
        <v>155</v>
      </c>
      <c r="T15" s="1" t="s">
        <v>77</v>
      </c>
      <c r="U15" s="1" t="s">
        <v>78</v>
      </c>
      <c r="V15" s="1" t="s">
        <v>70</v>
      </c>
      <c r="W15" s="1" t="s">
        <v>156</v>
      </c>
    </row>
    <row r="16">
      <c r="A16" s="5" t="s">
        <v>157</v>
      </c>
      <c r="B16" s="5">
        <v>2964295.0</v>
      </c>
      <c r="C16" s="17">
        <v>39615.0</v>
      </c>
      <c r="D16" s="4">
        <f t="shared" si="3"/>
        <v>14</v>
      </c>
      <c r="E16" s="1" t="s">
        <v>68</v>
      </c>
      <c r="F16" s="19" t="s">
        <v>158</v>
      </c>
      <c r="G16" s="1" t="s">
        <v>77</v>
      </c>
      <c r="H16" s="18"/>
      <c r="I16" s="18">
        <v>44864.0</v>
      </c>
      <c r="J16" s="15">
        <v>44870.0</v>
      </c>
      <c r="K16" s="4">
        <f t="shared" si="4"/>
        <v>6</v>
      </c>
      <c r="L16" s="19" t="s">
        <v>159</v>
      </c>
      <c r="M16" s="1" t="s">
        <v>160</v>
      </c>
      <c r="N16" s="1" t="s">
        <v>74</v>
      </c>
      <c r="O16" s="1">
        <v>5.0</v>
      </c>
      <c r="P16" s="1" t="s">
        <v>89</v>
      </c>
      <c r="Q16" s="1">
        <v>0.0</v>
      </c>
      <c r="R16" s="1" t="s">
        <v>161</v>
      </c>
      <c r="S16" s="1" t="s">
        <v>86</v>
      </c>
      <c r="T16" s="1" t="s">
        <v>70</v>
      </c>
      <c r="U16" s="1" t="s">
        <v>162</v>
      </c>
      <c r="V16" s="1" t="s">
        <v>77</v>
      </c>
      <c r="W16" s="1" t="s">
        <v>163</v>
      </c>
    </row>
    <row r="17">
      <c r="A17" s="5" t="s">
        <v>21</v>
      </c>
      <c r="B17" s="2">
        <v>2955794.0</v>
      </c>
      <c r="C17" s="17">
        <v>39897.0</v>
      </c>
      <c r="D17" s="4">
        <f t="shared" si="3"/>
        <v>13</v>
      </c>
      <c r="E17" s="1" t="s">
        <v>68</v>
      </c>
      <c r="F17" s="19" t="s">
        <v>164</v>
      </c>
      <c r="G17" s="1" t="s">
        <v>77</v>
      </c>
      <c r="H17" s="17"/>
      <c r="I17" s="17">
        <v>44839.0</v>
      </c>
      <c r="J17" s="18">
        <v>44854.0</v>
      </c>
      <c r="K17" s="4">
        <f t="shared" si="4"/>
        <v>15</v>
      </c>
      <c r="L17" s="19" t="s">
        <v>165</v>
      </c>
      <c r="M17" s="1" t="s">
        <v>98</v>
      </c>
      <c r="N17" s="1" t="s">
        <v>74</v>
      </c>
      <c r="O17" s="1">
        <v>12.0</v>
      </c>
      <c r="P17" s="1" t="s">
        <v>74</v>
      </c>
      <c r="Q17" s="1">
        <v>15.0</v>
      </c>
      <c r="R17" s="1" t="s">
        <v>154</v>
      </c>
      <c r="S17" s="1" t="s">
        <v>148</v>
      </c>
      <c r="T17" s="1" t="s">
        <v>70</v>
      </c>
      <c r="U17" s="1" t="s">
        <v>78</v>
      </c>
      <c r="V17" s="1" t="s">
        <v>70</v>
      </c>
      <c r="W17" s="1" t="s">
        <v>166</v>
      </c>
    </row>
    <row r="18">
      <c r="A18" s="5" t="s">
        <v>167</v>
      </c>
      <c r="B18" s="5">
        <v>2858494.0</v>
      </c>
      <c r="C18" s="18">
        <v>41212.0</v>
      </c>
      <c r="D18" s="4">
        <f t="shared" si="3"/>
        <v>9</v>
      </c>
      <c r="E18" s="1" t="s">
        <v>68</v>
      </c>
      <c r="F18" s="1" t="s">
        <v>168</v>
      </c>
      <c r="G18" s="1" t="s">
        <v>77</v>
      </c>
      <c r="H18" s="17"/>
      <c r="I18" s="17">
        <v>44653.0</v>
      </c>
      <c r="J18" s="17">
        <v>44665.0</v>
      </c>
      <c r="K18" s="4">
        <f t="shared" si="4"/>
        <v>12</v>
      </c>
      <c r="L18" s="1" t="s">
        <v>169</v>
      </c>
      <c r="M18" s="1" t="s">
        <v>110</v>
      </c>
      <c r="N18" s="1" t="s">
        <v>74</v>
      </c>
      <c r="O18" s="1">
        <v>4.0</v>
      </c>
      <c r="P18" s="1" t="s">
        <v>74</v>
      </c>
      <c r="Q18" s="1">
        <v>5.0</v>
      </c>
      <c r="R18" s="1" t="s">
        <v>170</v>
      </c>
      <c r="S18" s="1" t="s">
        <v>106</v>
      </c>
      <c r="T18" s="1" t="s">
        <v>70</v>
      </c>
      <c r="U18" s="1" t="s">
        <v>162</v>
      </c>
      <c r="V18" s="1" t="s">
        <v>77</v>
      </c>
      <c r="W18" s="1" t="s">
        <v>163</v>
      </c>
    </row>
    <row r="19">
      <c r="A19" s="5" t="s">
        <v>171</v>
      </c>
      <c r="B19" s="5">
        <v>2900076.0</v>
      </c>
      <c r="C19" s="17">
        <v>41079.0</v>
      </c>
      <c r="D19" s="4">
        <f t="shared" si="3"/>
        <v>9</v>
      </c>
      <c r="E19" s="1" t="s">
        <v>81</v>
      </c>
      <c r="F19" s="1" t="s">
        <v>89</v>
      </c>
      <c r="G19" s="1" t="s">
        <v>77</v>
      </c>
      <c r="H19" s="17"/>
      <c r="I19" s="17">
        <v>44664.0</v>
      </c>
      <c r="J19" s="12">
        <v>44664.0</v>
      </c>
      <c r="K19" s="4">
        <f t="shared" si="4"/>
        <v>0</v>
      </c>
      <c r="L19" s="19" t="s">
        <v>172</v>
      </c>
      <c r="M19" s="1" t="s">
        <v>173</v>
      </c>
      <c r="N19" s="1" t="s">
        <v>89</v>
      </c>
      <c r="O19" s="1">
        <v>0.0</v>
      </c>
      <c r="P19" s="1" t="s">
        <v>89</v>
      </c>
      <c r="Q19" s="1">
        <v>0.0</v>
      </c>
      <c r="R19" s="1" t="s">
        <v>174</v>
      </c>
      <c r="S19" s="1" t="s">
        <v>132</v>
      </c>
      <c r="T19" s="1" t="s">
        <v>77</v>
      </c>
      <c r="U19" s="1" t="s">
        <v>78</v>
      </c>
      <c r="V19" s="1" t="s">
        <v>70</v>
      </c>
      <c r="W19" s="1" t="s">
        <v>175</v>
      </c>
    </row>
    <row r="20">
      <c r="A20" s="2" t="s">
        <v>176</v>
      </c>
      <c r="B20" s="2">
        <v>2877293.0</v>
      </c>
      <c r="C20" s="12">
        <v>38399.0</v>
      </c>
      <c r="D20" s="4">
        <f t="shared" si="3"/>
        <v>16</v>
      </c>
      <c r="E20" s="1" t="s">
        <v>81</v>
      </c>
      <c r="F20" s="1" t="s">
        <v>89</v>
      </c>
      <c r="G20" s="1" t="s">
        <v>70</v>
      </c>
      <c r="H20" s="2" t="s">
        <v>177</v>
      </c>
      <c r="I20" s="12">
        <v>44588.0</v>
      </c>
      <c r="J20" s="12">
        <v>44596.0</v>
      </c>
      <c r="K20" s="4">
        <f t="shared" si="4"/>
        <v>8</v>
      </c>
      <c r="L20" s="19" t="s">
        <v>178</v>
      </c>
      <c r="M20" s="1" t="s">
        <v>98</v>
      </c>
      <c r="N20" s="1" t="s">
        <v>89</v>
      </c>
      <c r="O20" s="1">
        <v>0.0</v>
      </c>
      <c r="P20" s="1" t="s">
        <v>89</v>
      </c>
      <c r="Q20" s="1">
        <v>0.0</v>
      </c>
      <c r="R20" s="1" t="s">
        <v>179</v>
      </c>
      <c r="S20" s="1" t="s">
        <v>180</v>
      </c>
      <c r="T20" s="1" t="s">
        <v>70</v>
      </c>
      <c r="U20" s="1" t="s">
        <v>78</v>
      </c>
      <c r="V20" s="1" t="s">
        <v>70</v>
      </c>
      <c r="W20" s="1" t="s">
        <v>181</v>
      </c>
    </row>
    <row r="21">
      <c r="A21" s="1" t="s">
        <v>12</v>
      </c>
      <c r="B21" s="1">
        <v>3011492.0</v>
      </c>
      <c r="C21" s="12">
        <v>44147.0</v>
      </c>
      <c r="D21" s="1">
        <v>2.0</v>
      </c>
      <c r="E21" s="1" t="s">
        <v>68</v>
      </c>
      <c r="F21" s="20" t="s">
        <v>182</v>
      </c>
      <c r="G21" s="1" t="s">
        <v>77</v>
      </c>
      <c r="H21" s="10"/>
      <c r="I21" s="10">
        <v>45016.0</v>
      </c>
      <c r="J21" s="12">
        <v>45040.0</v>
      </c>
      <c r="K21" s="4">
        <f t="shared" si="4"/>
        <v>24</v>
      </c>
      <c r="L21" s="1" t="s">
        <v>169</v>
      </c>
      <c r="M21" s="1" t="s">
        <v>110</v>
      </c>
      <c r="N21" s="1" t="s">
        <v>74</v>
      </c>
      <c r="O21" s="1">
        <v>21.0</v>
      </c>
      <c r="P21" s="1" t="s">
        <v>74</v>
      </c>
      <c r="Q21" s="1">
        <v>24.0</v>
      </c>
      <c r="R21" s="1" t="s">
        <v>183</v>
      </c>
      <c r="S21" s="1" t="s">
        <v>106</v>
      </c>
      <c r="T21" s="1" t="s">
        <v>70</v>
      </c>
      <c r="U21" s="1" t="s">
        <v>184</v>
      </c>
      <c r="V21" s="1" t="s">
        <v>77</v>
      </c>
      <c r="W21" s="1" t="s">
        <v>127</v>
      </c>
    </row>
    <row r="22" ht="15.75" customHeight="1">
      <c r="A22" s="2" t="s">
        <v>13</v>
      </c>
      <c r="B22" s="2">
        <v>3045554.0</v>
      </c>
      <c r="C22" s="11">
        <v>40876.0</v>
      </c>
      <c r="D22" s="4">
        <f t="shared" ref="D22:D25" si="5">IF(AND(C22&lt;&gt;"",I22&lt;&gt;""),DATEDIF(C22,I22,"y"),"")</f>
        <v>11</v>
      </c>
      <c r="E22" s="1" t="s">
        <v>68</v>
      </c>
      <c r="F22" s="21" t="s">
        <v>185</v>
      </c>
      <c r="G22" s="1" t="s">
        <v>77</v>
      </c>
      <c r="H22" s="12"/>
      <c r="I22" s="12">
        <v>45113.0</v>
      </c>
      <c r="J22" s="12">
        <v>45157.0</v>
      </c>
      <c r="K22" s="4">
        <f t="shared" si="4"/>
        <v>44</v>
      </c>
      <c r="L22" s="21" t="s">
        <v>186</v>
      </c>
      <c r="M22" s="1" t="s">
        <v>160</v>
      </c>
      <c r="N22" s="1" t="s">
        <v>74</v>
      </c>
      <c r="O22" s="1">
        <v>43.0</v>
      </c>
      <c r="P22" s="1" t="s">
        <v>74</v>
      </c>
      <c r="Q22" s="1">
        <v>44.0</v>
      </c>
      <c r="R22" s="1" t="s">
        <v>187</v>
      </c>
      <c r="S22" s="1" t="s">
        <v>188</v>
      </c>
      <c r="T22" s="1" t="s">
        <v>70</v>
      </c>
      <c r="U22" s="1" t="s">
        <v>189</v>
      </c>
      <c r="V22" s="1" t="s">
        <v>77</v>
      </c>
      <c r="W22" s="1" t="s">
        <v>190</v>
      </c>
    </row>
    <row r="23" ht="15.75" customHeight="1">
      <c r="A23" s="3" t="s">
        <v>14</v>
      </c>
      <c r="B23" s="2">
        <v>1907821.0</v>
      </c>
      <c r="C23" s="12">
        <v>39307.0</v>
      </c>
      <c r="D23" s="4">
        <f t="shared" si="5"/>
        <v>16</v>
      </c>
      <c r="E23" s="1" t="s">
        <v>81</v>
      </c>
      <c r="F23" s="2" t="s">
        <v>89</v>
      </c>
      <c r="G23" s="1" t="s">
        <v>77</v>
      </c>
      <c r="H23" s="12"/>
      <c r="I23" s="12">
        <v>45163.0</v>
      </c>
      <c r="J23" s="12">
        <v>45167.0</v>
      </c>
      <c r="K23" s="4">
        <f t="shared" si="4"/>
        <v>4</v>
      </c>
      <c r="L23" s="21" t="s">
        <v>191</v>
      </c>
      <c r="M23" s="1" t="s">
        <v>73</v>
      </c>
      <c r="N23" s="1" t="s">
        <v>89</v>
      </c>
      <c r="O23" s="1">
        <v>0.0</v>
      </c>
      <c r="P23" s="1" t="s">
        <v>84</v>
      </c>
      <c r="Q23" s="1">
        <v>4.0</v>
      </c>
      <c r="R23" s="1" t="s">
        <v>192</v>
      </c>
      <c r="S23" s="1" t="s">
        <v>93</v>
      </c>
      <c r="T23" s="1" t="s">
        <v>70</v>
      </c>
      <c r="U23" s="1" t="s">
        <v>78</v>
      </c>
      <c r="V23" s="1" t="s">
        <v>70</v>
      </c>
      <c r="W23" s="1" t="s">
        <v>193</v>
      </c>
    </row>
    <row r="24" ht="15.75" customHeight="1">
      <c r="A24" s="2" t="s">
        <v>15</v>
      </c>
      <c r="B24" s="2">
        <v>1223293.0</v>
      </c>
      <c r="C24" s="12">
        <v>38763.0</v>
      </c>
      <c r="D24" s="4">
        <f t="shared" si="5"/>
        <v>17</v>
      </c>
      <c r="E24" s="1" t="s">
        <v>68</v>
      </c>
      <c r="F24" s="2" t="s">
        <v>89</v>
      </c>
      <c r="G24" s="1" t="s">
        <v>77</v>
      </c>
      <c r="H24" s="12"/>
      <c r="I24" s="12">
        <v>45063.0</v>
      </c>
      <c r="J24" s="12">
        <v>45075.0</v>
      </c>
      <c r="K24" s="4">
        <f t="shared" si="4"/>
        <v>12</v>
      </c>
      <c r="L24" s="21" t="s">
        <v>194</v>
      </c>
      <c r="M24" s="1" t="s">
        <v>73</v>
      </c>
      <c r="N24" s="1" t="s">
        <v>89</v>
      </c>
      <c r="O24" s="1">
        <v>0.0</v>
      </c>
      <c r="P24" s="1" t="s">
        <v>74</v>
      </c>
      <c r="Q24" s="1">
        <v>4.0</v>
      </c>
      <c r="R24" s="1" t="s">
        <v>195</v>
      </c>
      <c r="S24" s="1" t="s">
        <v>93</v>
      </c>
      <c r="T24" s="1" t="s">
        <v>70</v>
      </c>
      <c r="U24" s="1" t="s">
        <v>78</v>
      </c>
      <c r="V24" s="1" t="s">
        <v>70</v>
      </c>
      <c r="W24" s="1" t="s">
        <v>196</v>
      </c>
    </row>
    <row r="25" ht="15.75" customHeight="1">
      <c r="A25" s="2" t="s">
        <v>19</v>
      </c>
      <c r="B25" s="2">
        <v>3080699.0</v>
      </c>
      <c r="C25" s="12">
        <v>42573.0</v>
      </c>
      <c r="D25" s="4">
        <f t="shared" si="5"/>
        <v>7</v>
      </c>
      <c r="E25" s="1" t="s">
        <v>81</v>
      </c>
      <c r="F25" s="1" t="s">
        <v>89</v>
      </c>
      <c r="G25" s="1" t="s">
        <v>70</v>
      </c>
      <c r="H25" s="2" t="s">
        <v>197</v>
      </c>
      <c r="I25" s="11">
        <v>45226.0</v>
      </c>
      <c r="J25" s="12">
        <v>45231.0</v>
      </c>
      <c r="K25" s="4">
        <f t="shared" si="4"/>
        <v>5</v>
      </c>
      <c r="L25" s="21" t="s">
        <v>198</v>
      </c>
      <c r="M25" s="1" t="s">
        <v>98</v>
      </c>
      <c r="N25" s="1" t="s">
        <v>74</v>
      </c>
      <c r="O25" s="1">
        <v>5.0</v>
      </c>
      <c r="P25" s="1" t="s">
        <v>74</v>
      </c>
      <c r="Q25" s="1">
        <v>5.0</v>
      </c>
      <c r="R25" s="1" t="s">
        <v>199</v>
      </c>
      <c r="S25" s="1" t="s">
        <v>200</v>
      </c>
      <c r="T25" s="1" t="s">
        <v>77</v>
      </c>
      <c r="U25" s="1" t="s">
        <v>78</v>
      </c>
      <c r="V25" s="1" t="s">
        <v>70</v>
      </c>
      <c r="W25" s="1" t="s">
        <v>201</v>
      </c>
    </row>
    <row r="26" ht="15.75" customHeight="1">
      <c r="A26" s="2" t="s">
        <v>202</v>
      </c>
      <c r="B26" s="2">
        <v>3105046.0</v>
      </c>
      <c r="C26" s="10">
        <v>43863.0</v>
      </c>
      <c r="D26" s="1">
        <v>3.0</v>
      </c>
      <c r="E26" s="1" t="s">
        <v>68</v>
      </c>
      <c r="F26" s="1" t="s">
        <v>77</v>
      </c>
      <c r="G26" s="1" t="s">
        <v>77</v>
      </c>
      <c r="I26" s="10">
        <v>45310.0</v>
      </c>
      <c r="J26" s="10">
        <v>45338.0</v>
      </c>
      <c r="K26" s="4">
        <f t="shared" si="4"/>
        <v>28</v>
      </c>
      <c r="L26" s="1" t="s">
        <v>203</v>
      </c>
      <c r="M26" s="1" t="s">
        <v>160</v>
      </c>
      <c r="N26" s="1" t="s">
        <v>77</v>
      </c>
      <c r="O26" s="1">
        <v>0.0</v>
      </c>
      <c r="P26" s="1" t="s">
        <v>74</v>
      </c>
      <c r="Q26" s="1">
        <v>20.0</v>
      </c>
      <c r="R26" s="1" t="s">
        <v>204</v>
      </c>
      <c r="S26" s="1" t="s">
        <v>205</v>
      </c>
      <c r="T26" s="1" t="s">
        <v>77</v>
      </c>
      <c r="U26" s="1" t="s">
        <v>78</v>
      </c>
      <c r="V26" s="1" t="s">
        <v>77</v>
      </c>
      <c r="W26" s="1" t="s">
        <v>206</v>
      </c>
    </row>
    <row r="27" ht="15.75" customHeight="1">
      <c r="A27" s="2" t="s">
        <v>207</v>
      </c>
      <c r="B27" s="2">
        <v>3119436.0</v>
      </c>
      <c r="C27" s="15">
        <v>39807.0</v>
      </c>
      <c r="D27" s="4">
        <f t="shared" ref="D27:D36" si="6">IF(AND(C27&lt;&gt;"",I27&lt;&gt;""),DATEDIF(C27,I27,"y"),"")</f>
        <v>15</v>
      </c>
      <c r="E27" s="1" t="s">
        <v>68</v>
      </c>
      <c r="F27" s="1" t="s">
        <v>208</v>
      </c>
      <c r="G27" s="1" t="s">
        <v>77</v>
      </c>
      <c r="I27" s="10">
        <v>45355.0</v>
      </c>
      <c r="J27" s="10">
        <v>45362.0</v>
      </c>
      <c r="K27" s="4">
        <f t="shared" si="4"/>
        <v>7</v>
      </c>
      <c r="L27" s="1" t="s">
        <v>209</v>
      </c>
      <c r="M27" s="1" t="s">
        <v>83</v>
      </c>
      <c r="N27" s="1" t="s">
        <v>74</v>
      </c>
      <c r="O27" s="1">
        <v>2.0</v>
      </c>
      <c r="P27" s="1" t="s">
        <v>74</v>
      </c>
      <c r="Q27" s="1">
        <v>7.0</v>
      </c>
      <c r="R27" s="1" t="s">
        <v>210</v>
      </c>
      <c r="S27" s="1" t="s">
        <v>211</v>
      </c>
      <c r="T27" s="1" t="s">
        <v>70</v>
      </c>
      <c r="U27" s="1" t="s">
        <v>78</v>
      </c>
      <c r="V27" s="1" t="s">
        <v>70</v>
      </c>
      <c r="W27" s="1" t="s">
        <v>212</v>
      </c>
    </row>
    <row r="28" ht="15.75" customHeight="1">
      <c r="A28" s="2" t="s">
        <v>213</v>
      </c>
      <c r="B28" s="2">
        <v>2309442.0</v>
      </c>
      <c r="C28" s="10">
        <v>41974.0</v>
      </c>
      <c r="D28" s="4">
        <f t="shared" si="6"/>
        <v>9</v>
      </c>
      <c r="E28" s="1" t="s">
        <v>68</v>
      </c>
      <c r="F28" s="1" t="s">
        <v>214</v>
      </c>
      <c r="G28" s="1" t="s">
        <v>77</v>
      </c>
      <c r="I28" s="10">
        <v>45404.0</v>
      </c>
      <c r="J28" s="10">
        <v>45424.0</v>
      </c>
      <c r="K28" s="1">
        <v>21.0</v>
      </c>
      <c r="L28" s="1" t="s">
        <v>215</v>
      </c>
      <c r="M28" s="1" t="s">
        <v>160</v>
      </c>
      <c r="N28" s="1" t="s">
        <v>74</v>
      </c>
      <c r="O28" s="1">
        <v>18.0</v>
      </c>
      <c r="P28" s="1" t="s">
        <v>74</v>
      </c>
      <c r="Q28" s="1">
        <v>21.0</v>
      </c>
      <c r="R28" s="1" t="s">
        <v>216</v>
      </c>
      <c r="S28" s="1" t="s">
        <v>217</v>
      </c>
      <c r="T28" s="1" t="s">
        <v>70</v>
      </c>
      <c r="U28" s="1" t="s">
        <v>78</v>
      </c>
      <c r="V28" s="1" t="s">
        <v>70</v>
      </c>
      <c r="W28" s="1" t="s">
        <v>218</v>
      </c>
    </row>
    <row r="29" ht="15.75" customHeight="1">
      <c r="A29" s="2" t="s">
        <v>9</v>
      </c>
      <c r="B29" s="2">
        <v>3159521.0</v>
      </c>
      <c r="C29" s="10">
        <v>39833.0</v>
      </c>
      <c r="D29" s="4">
        <f t="shared" si="6"/>
        <v>15</v>
      </c>
      <c r="E29" s="1" t="s">
        <v>81</v>
      </c>
      <c r="F29" s="1" t="s">
        <v>77</v>
      </c>
      <c r="G29" s="1" t="s">
        <v>70</v>
      </c>
      <c r="H29" s="1" t="s">
        <v>219</v>
      </c>
      <c r="I29" s="10">
        <v>45474.0</v>
      </c>
      <c r="J29" s="10">
        <v>45478.0</v>
      </c>
      <c r="K29" s="4">
        <f t="shared" ref="K29:K193" si="7">IF(AND(I29&lt;&gt;"",J29&lt;&gt;""),DATEDIF(I29,J29,"d"),"")</f>
        <v>4</v>
      </c>
      <c r="L29" s="1" t="s">
        <v>97</v>
      </c>
      <c r="M29" s="1" t="s">
        <v>98</v>
      </c>
      <c r="N29" s="1" t="s">
        <v>74</v>
      </c>
      <c r="O29" s="1">
        <v>3.0</v>
      </c>
      <c r="P29" s="1" t="s">
        <v>74</v>
      </c>
      <c r="Q29" s="1">
        <v>5.0</v>
      </c>
      <c r="R29" s="1" t="s">
        <v>220</v>
      </c>
      <c r="S29" s="1" t="s">
        <v>106</v>
      </c>
      <c r="T29" s="1" t="s">
        <v>70</v>
      </c>
      <c r="U29" s="1" t="s">
        <v>101</v>
      </c>
      <c r="V29" s="1" t="s">
        <v>70</v>
      </c>
      <c r="W29" s="1" t="s">
        <v>221</v>
      </c>
    </row>
    <row r="30" ht="15.75" customHeight="1">
      <c r="A30" s="2" t="s">
        <v>222</v>
      </c>
      <c r="B30" s="2">
        <v>3180048.0</v>
      </c>
      <c r="C30" s="10">
        <v>40187.0</v>
      </c>
      <c r="D30" s="4">
        <f t="shared" si="6"/>
        <v>14</v>
      </c>
      <c r="E30" s="1" t="s">
        <v>68</v>
      </c>
      <c r="F30" s="1" t="s">
        <v>223</v>
      </c>
      <c r="G30" s="1" t="s">
        <v>77</v>
      </c>
      <c r="I30" s="10">
        <v>45536.0</v>
      </c>
      <c r="J30" s="10">
        <v>45548.0</v>
      </c>
      <c r="K30" s="4">
        <f t="shared" si="7"/>
        <v>12</v>
      </c>
      <c r="L30" s="1" t="s">
        <v>224</v>
      </c>
      <c r="M30" s="1" t="s">
        <v>73</v>
      </c>
      <c r="N30" s="1" t="s">
        <v>74</v>
      </c>
      <c r="O30" s="1">
        <v>9.0</v>
      </c>
      <c r="P30" s="1" t="s">
        <v>74</v>
      </c>
      <c r="Q30" s="1">
        <v>12.0</v>
      </c>
      <c r="R30" s="1" t="s">
        <v>216</v>
      </c>
      <c r="S30" s="1"/>
      <c r="T30" s="1" t="s">
        <v>70</v>
      </c>
      <c r="U30" s="1" t="s">
        <v>78</v>
      </c>
      <c r="V30" s="1" t="s">
        <v>77</v>
      </c>
      <c r="W30" s="1" t="s">
        <v>225</v>
      </c>
    </row>
    <row r="31" ht="15.75" customHeight="1">
      <c r="A31" s="2" t="s">
        <v>226</v>
      </c>
      <c r="B31" s="2">
        <v>3176160.0</v>
      </c>
      <c r="C31" s="10">
        <v>42379.0</v>
      </c>
      <c r="D31" s="4">
        <f t="shared" si="6"/>
        <v>8</v>
      </c>
      <c r="E31" s="1" t="s">
        <v>81</v>
      </c>
      <c r="F31" s="1" t="s">
        <v>77</v>
      </c>
      <c r="G31" s="1" t="s">
        <v>77</v>
      </c>
      <c r="I31" s="10">
        <v>45524.0</v>
      </c>
      <c r="J31" s="10">
        <v>45558.0</v>
      </c>
      <c r="K31" s="4">
        <f t="shared" si="7"/>
        <v>34</v>
      </c>
      <c r="L31" s="1" t="s">
        <v>227</v>
      </c>
      <c r="M31" s="1" t="s">
        <v>73</v>
      </c>
      <c r="N31" s="1" t="s">
        <v>74</v>
      </c>
      <c r="O31" s="1">
        <v>34.0</v>
      </c>
      <c r="P31" s="1" t="s">
        <v>74</v>
      </c>
      <c r="Q31" s="1">
        <v>22.0</v>
      </c>
      <c r="R31" s="1" t="s">
        <v>228</v>
      </c>
      <c r="S31" s="1"/>
      <c r="T31" s="1" t="s">
        <v>70</v>
      </c>
      <c r="U31" s="1" t="s">
        <v>78</v>
      </c>
      <c r="V31" s="1" t="s">
        <v>70</v>
      </c>
      <c r="W31" s="1" t="s">
        <v>229</v>
      </c>
    </row>
    <row r="32" ht="15.75" customHeight="1">
      <c r="A32" s="2" t="s">
        <v>10</v>
      </c>
      <c r="B32" s="2">
        <v>2661513.0</v>
      </c>
      <c r="C32" s="10">
        <v>40232.0</v>
      </c>
      <c r="D32" s="4">
        <f t="shared" si="6"/>
        <v>14</v>
      </c>
      <c r="E32" s="1" t="s">
        <v>68</v>
      </c>
      <c r="F32" s="22" t="s">
        <v>230</v>
      </c>
      <c r="G32" s="1" t="s">
        <v>70</v>
      </c>
      <c r="H32" s="1" t="s">
        <v>231</v>
      </c>
      <c r="I32" s="10">
        <v>45565.0</v>
      </c>
      <c r="J32" s="10">
        <v>45573.0</v>
      </c>
      <c r="K32" s="4">
        <f t="shared" si="7"/>
        <v>8</v>
      </c>
      <c r="L32" s="1" t="s">
        <v>232</v>
      </c>
      <c r="M32" s="1" t="s">
        <v>98</v>
      </c>
      <c r="N32" s="1" t="s">
        <v>74</v>
      </c>
      <c r="O32" s="1">
        <v>1.0</v>
      </c>
      <c r="P32" s="1" t="s">
        <v>84</v>
      </c>
      <c r="Q32" s="1">
        <v>8.0</v>
      </c>
      <c r="R32" s="1" t="s">
        <v>233</v>
      </c>
      <c r="S32" s="1" t="s">
        <v>234</v>
      </c>
      <c r="T32" s="1" t="s">
        <v>77</v>
      </c>
      <c r="U32" s="1" t="s">
        <v>189</v>
      </c>
      <c r="V32" s="1" t="s">
        <v>77</v>
      </c>
      <c r="W32" s="1" t="s">
        <v>190</v>
      </c>
    </row>
    <row r="33" ht="15.75" customHeight="1">
      <c r="A33" s="2" t="s">
        <v>11</v>
      </c>
      <c r="B33" s="2">
        <v>2172620.0</v>
      </c>
      <c r="C33" s="15">
        <v>39063.0</v>
      </c>
      <c r="D33" s="4">
        <f t="shared" si="6"/>
        <v>17</v>
      </c>
      <c r="E33" s="1" t="s">
        <v>68</v>
      </c>
      <c r="F33" s="1" t="s">
        <v>89</v>
      </c>
      <c r="G33" s="1" t="s">
        <v>70</v>
      </c>
      <c r="H33" s="1" t="s">
        <v>235</v>
      </c>
      <c r="I33" s="10">
        <v>45569.0</v>
      </c>
      <c r="J33" s="15">
        <v>45572.0</v>
      </c>
      <c r="K33" s="4">
        <f t="shared" si="7"/>
        <v>3</v>
      </c>
      <c r="L33" s="1" t="s">
        <v>236</v>
      </c>
      <c r="M33" s="1" t="s">
        <v>83</v>
      </c>
      <c r="N33" s="1" t="s">
        <v>74</v>
      </c>
      <c r="O33" s="1">
        <v>2.0</v>
      </c>
      <c r="P33" s="1" t="s">
        <v>74</v>
      </c>
      <c r="Q33" s="1">
        <v>1.0</v>
      </c>
      <c r="R33" s="1" t="s">
        <v>99</v>
      </c>
      <c r="S33" s="1"/>
      <c r="T33" s="1" t="s">
        <v>77</v>
      </c>
      <c r="U33" s="1" t="s">
        <v>78</v>
      </c>
      <c r="V33" s="1" t="s">
        <v>70</v>
      </c>
      <c r="W33" s="1" t="s">
        <v>237</v>
      </c>
    </row>
    <row r="34" ht="15.75" customHeight="1">
      <c r="A34" s="2" t="s">
        <v>238</v>
      </c>
      <c r="B34" s="2">
        <v>3144234.0</v>
      </c>
      <c r="C34" s="23">
        <v>40389.0</v>
      </c>
      <c r="D34" s="4">
        <f t="shared" si="6"/>
        <v>13</v>
      </c>
      <c r="E34" s="1" t="s">
        <v>68</v>
      </c>
      <c r="F34" s="1" t="s">
        <v>89</v>
      </c>
      <c r="G34" s="1" t="s">
        <v>77</v>
      </c>
      <c r="H34" s="10"/>
      <c r="I34" s="10">
        <v>45429.0</v>
      </c>
      <c r="J34" s="10">
        <v>45441.0</v>
      </c>
      <c r="K34" s="4">
        <f t="shared" si="7"/>
        <v>12</v>
      </c>
      <c r="L34" s="1" t="s">
        <v>239</v>
      </c>
      <c r="M34" s="1" t="s">
        <v>83</v>
      </c>
      <c r="N34" s="1" t="s">
        <v>74</v>
      </c>
      <c r="O34" s="1">
        <v>12.0</v>
      </c>
      <c r="P34" s="1" t="s">
        <v>74</v>
      </c>
      <c r="Q34" s="1">
        <v>12.0</v>
      </c>
      <c r="R34" s="1" t="s">
        <v>99</v>
      </c>
      <c r="S34" s="1"/>
      <c r="T34" s="1" t="s">
        <v>77</v>
      </c>
      <c r="U34" s="1" t="s">
        <v>78</v>
      </c>
      <c r="V34" s="1" t="s">
        <v>70</v>
      </c>
      <c r="W34" s="1" t="s">
        <v>240</v>
      </c>
    </row>
    <row r="35" ht="15.75" customHeight="1">
      <c r="A35" s="24" t="s">
        <v>241</v>
      </c>
      <c r="B35" s="2">
        <v>2425659.0</v>
      </c>
      <c r="C35" s="10">
        <v>40577.0</v>
      </c>
      <c r="D35" s="4">
        <f t="shared" si="6"/>
        <v>11</v>
      </c>
      <c r="E35" s="1" t="s">
        <v>81</v>
      </c>
      <c r="F35" s="1" t="s">
        <v>89</v>
      </c>
      <c r="G35" s="1" t="s">
        <v>77</v>
      </c>
      <c r="I35" s="10">
        <v>44604.0</v>
      </c>
      <c r="J35" s="10">
        <v>44608.0</v>
      </c>
      <c r="K35" s="4">
        <f t="shared" si="7"/>
        <v>4</v>
      </c>
      <c r="L35" s="1" t="s">
        <v>242</v>
      </c>
      <c r="M35" s="1" t="s">
        <v>160</v>
      </c>
      <c r="N35" s="1" t="s">
        <v>74</v>
      </c>
      <c r="O35" s="1">
        <v>3.0</v>
      </c>
      <c r="P35" s="1" t="s">
        <v>74</v>
      </c>
      <c r="Q35" s="1">
        <v>3.0</v>
      </c>
      <c r="R35" s="1" t="s">
        <v>154</v>
      </c>
      <c r="S35" s="1" t="s">
        <v>243</v>
      </c>
      <c r="T35" s="1" t="s">
        <v>77</v>
      </c>
      <c r="U35" s="1" t="s">
        <v>184</v>
      </c>
      <c r="V35" s="1" t="s">
        <v>70</v>
      </c>
      <c r="W35" s="1" t="s">
        <v>244</v>
      </c>
    </row>
    <row r="36" ht="15.75" customHeight="1">
      <c r="A36" s="9" t="s">
        <v>44</v>
      </c>
      <c r="B36" s="5">
        <v>1691963.0</v>
      </c>
      <c r="C36" s="10">
        <v>38908.0</v>
      </c>
      <c r="D36" s="4">
        <f t="shared" si="6"/>
        <v>15</v>
      </c>
      <c r="E36" s="1" t="s">
        <v>81</v>
      </c>
      <c r="F36" s="1" t="s">
        <v>245</v>
      </c>
      <c r="G36" s="1" t="s">
        <v>70</v>
      </c>
      <c r="H36" s="1" t="s">
        <v>246</v>
      </c>
      <c r="I36" s="10">
        <v>44662.0</v>
      </c>
      <c r="J36" s="10">
        <v>44662.0</v>
      </c>
      <c r="K36" s="4">
        <f t="shared" si="7"/>
        <v>0</v>
      </c>
      <c r="L36" s="1" t="s">
        <v>247</v>
      </c>
      <c r="M36" s="1" t="s">
        <v>98</v>
      </c>
      <c r="N36" s="1" t="s">
        <v>89</v>
      </c>
      <c r="O36" s="1" t="s">
        <v>248</v>
      </c>
      <c r="P36" s="1" t="s">
        <v>89</v>
      </c>
      <c r="Q36" s="1">
        <v>0.0</v>
      </c>
      <c r="R36" s="1" t="s">
        <v>249</v>
      </c>
      <c r="S36" s="1" t="s">
        <v>106</v>
      </c>
      <c r="T36" s="1" t="s">
        <v>70</v>
      </c>
      <c r="U36" s="1" t="s">
        <v>78</v>
      </c>
      <c r="V36" s="1" t="s">
        <v>70</v>
      </c>
      <c r="W36" s="1" t="s">
        <v>250</v>
      </c>
    </row>
    <row r="37" ht="15.75" customHeight="1">
      <c r="A37" s="9" t="s">
        <v>25</v>
      </c>
      <c r="B37" s="5">
        <v>1100261.0</v>
      </c>
      <c r="C37" s="10">
        <v>38207.0</v>
      </c>
      <c r="D37" s="1">
        <v>17.0</v>
      </c>
      <c r="E37" s="1" t="s">
        <v>68</v>
      </c>
      <c r="F37" s="1" t="s">
        <v>251</v>
      </c>
      <c r="G37" s="1" t="s">
        <v>70</v>
      </c>
      <c r="H37" s="1" t="s">
        <v>252</v>
      </c>
      <c r="I37" s="10">
        <v>44649.0</v>
      </c>
      <c r="J37" s="10">
        <v>44651.0</v>
      </c>
      <c r="K37" s="4">
        <f t="shared" si="7"/>
        <v>2</v>
      </c>
      <c r="L37" s="1" t="s">
        <v>253</v>
      </c>
      <c r="M37" s="1" t="s">
        <v>83</v>
      </c>
      <c r="N37" s="1" t="s">
        <v>74</v>
      </c>
      <c r="O37" s="1">
        <v>2.0</v>
      </c>
      <c r="P37" s="1" t="s">
        <v>74</v>
      </c>
      <c r="Q37" s="1">
        <v>3.0</v>
      </c>
      <c r="R37" s="1" t="s">
        <v>254</v>
      </c>
      <c r="S37" s="1" t="s">
        <v>243</v>
      </c>
      <c r="T37" s="1" t="s">
        <v>77</v>
      </c>
      <c r="U37" s="1" t="s">
        <v>78</v>
      </c>
      <c r="V37" s="1" t="s">
        <v>70</v>
      </c>
      <c r="W37" s="1" t="s">
        <v>255</v>
      </c>
    </row>
    <row r="38" ht="15.75" customHeight="1">
      <c r="A38" s="5" t="s">
        <v>256</v>
      </c>
      <c r="B38" s="5">
        <v>3144384.0</v>
      </c>
      <c r="C38" s="17">
        <v>40776.0</v>
      </c>
      <c r="D38" s="1">
        <v>12.0</v>
      </c>
      <c r="E38" s="1" t="s">
        <v>68</v>
      </c>
      <c r="F38" s="1" t="s">
        <v>77</v>
      </c>
      <c r="G38" s="1" t="s">
        <v>77</v>
      </c>
      <c r="I38" s="17">
        <v>45429.0</v>
      </c>
      <c r="J38" s="17">
        <v>45430.0</v>
      </c>
      <c r="K38" s="4">
        <f t="shared" si="7"/>
        <v>1</v>
      </c>
      <c r="L38" s="5" t="s">
        <v>257</v>
      </c>
      <c r="M38" s="1" t="s">
        <v>83</v>
      </c>
      <c r="N38" s="1" t="s">
        <v>89</v>
      </c>
      <c r="O38" s="1">
        <v>0.0</v>
      </c>
      <c r="P38" s="1" t="s">
        <v>74</v>
      </c>
      <c r="Q38" s="1">
        <v>1.0</v>
      </c>
      <c r="R38" s="1" t="s">
        <v>258</v>
      </c>
      <c r="S38" s="1" t="s">
        <v>243</v>
      </c>
      <c r="T38" s="1" t="s">
        <v>77</v>
      </c>
      <c r="U38" s="1" t="s">
        <v>78</v>
      </c>
      <c r="V38" s="1" t="s">
        <v>70</v>
      </c>
      <c r="W38" s="1" t="s">
        <v>259</v>
      </c>
    </row>
    <row r="39" ht="15.75" customHeight="1">
      <c r="A39" s="5" t="s">
        <v>32</v>
      </c>
      <c r="B39" s="5">
        <v>2833840.0</v>
      </c>
      <c r="C39" s="10">
        <v>41017.0</v>
      </c>
      <c r="D39" s="4">
        <f t="shared" ref="D39:D193" si="8">IF(AND(C39&lt;&gt;"",I39&lt;&gt;""),DATEDIF(C39,I39,"y"),"")</f>
        <v>9</v>
      </c>
      <c r="E39" s="1" t="s">
        <v>81</v>
      </c>
      <c r="F39" s="1" t="s">
        <v>260</v>
      </c>
      <c r="G39" s="1" t="s">
        <v>70</v>
      </c>
      <c r="H39" s="1" t="s">
        <v>261</v>
      </c>
      <c r="I39" s="10">
        <v>44435.0</v>
      </c>
      <c r="J39" s="15">
        <v>44436.0</v>
      </c>
      <c r="K39" s="4">
        <f t="shared" si="7"/>
        <v>1</v>
      </c>
      <c r="L39" s="1" t="s">
        <v>262</v>
      </c>
      <c r="M39" s="1" t="s">
        <v>83</v>
      </c>
      <c r="N39" s="1" t="s">
        <v>89</v>
      </c>
      <c r="O39" s="1">
        <v>0.0</v>
      </c>
      <c r="P39" s="1" t="s">
        <v>74</v>
      </c>
      <c r="Q39" s="1">
        <v>9.0</v>
      </c>
      <c r="R39" s="1" t="s">
        <v>263</v>
      </c>
      <c r="S39" s="1" t="s">
        <v>200</v>
      </c>
      <c r="T39" s="1" t="s">
        <v>77</v>
      </c>
      <c r="U39" s="1" t="s">
        <v>78</v>
      </c>
      <c r="V39" s="1" t="s">
        <v>70</v>
      </c>
      <c r="W39" s="1" t="s">
        <v>264</v>
      </c>
    </row>
    <row r="40" ht="15.75" customHeight="1">
      <c r="D40" s="4" t="str">
        <f t="shared" si="8"/>
        <v/>
      </c>
      <c r="E40" s="4"/>
      <c r="G40" s="4"/>
      <c r="J40" s="15"/>
      <c r="K40" s="4" t="str">
        <f t="shared" si="7"/>
        <v/>
      </c>
      <c r="M40" s="4"/>
      <c r="T40" s="4"/>
      <c r="U40" s="4"/>
      <c r="V40" s="4"/>
    </row>
    <row r="41" ht="15.75" customHeight="1">
      <c r="D41" s="4" t="str">
        <f t="shared" si="8"/>
        <v/>
      </c>
      <c r="E41" s="4"/>
      <c r="G41" s="4"/>
      <c r="K41" s="4" t="str">
        <f t="shared" si="7"/>
        <v/>
      </c>
      <c r="M41" s="4"/>
      <c r="T41" s="4"/>
      <c r="U41" s="4"/>
      <c r="V41" s="4"/>
    </row>
    <row r="42" ht="15.75" customHeight="1">
      <c r="D42" s="4" t="str">
        <f t="shared" si="8"/>
        <v/>
      </c>
      <c r="E42" s="4"/>
      <c r="G42" s="4"/>
      <c r="K42" s="4" t="str">
        <f t="shared" si="7"/>
        <v/>
      </c>
      <c r="M42" s="4"/>
      <c r="T42" s="4"/>
      <c r="U42" s="4"/>
      <c r="V42" s="4"/>
    </row>
    <row r="43" ht="15.75" customHeight="1">
      <c r="D43" s="4" t="str">
        <f t="shared" si="8"/>
        <v/>
      </c>
      <c r="E43" s="4"/>
      <c r="G43" s="4"/>
      <c r="K43" s="4" t="str">
        <f t="shared" si="7"/>
        <v/>
      </c>
      <c r="M43" s="4"/>
      <c r="T43" s="4"/>
      <c r="U43" s="4"/>
      <c r="V43" s="4"/>
    </row>
    <row r="44" ht="15.75" customHeight="1">
      <c r="D44" s="4" t="str">
        <f t="shared" si="8"/>
        <v/>
      </c>
      <c r="E44" s="4"/>
      <c r="G44" s="4"/>
      <c r="K44" s="4" t="str">
        <f t="shared" si="7"/>
        <v/>
      </c>
      <c r="M44" s="4"/>
      <c r="T44" s="4"/>
      <c r="U44" s="4"/>
      <c r="V44" s="4"/>
    </row>
    <row r="45" ht="15.75" customHeight="1">
      <c r="D45" s="4" t="str">
        <f t="shared" si="8"/>
        <v/>
      </c>
      <c r="E45" s="4"/>
      <c r="G45" s="4"/>
      <c r="K45" s="4" t="str">
        <f t="shared" si="7"/>
        <v/>
      </c>
      <c r="M45" s="4"/>
      <c r="T45" s="4"/>
      <c r="U45" s="4"/>
      <c r="V45" s="4"/>
    </row>
    <row r="46" ht="15.75" customHeight="1">
      <c r="D46" s="4" t="str">
        <f t="shared" si="8"/>
        <v/>
      </c>
      <c r="E46" s="4"/>
      <c r="G46" s="4"/>
      <c r="K46" s="4" t="str">
        <f t="shared" si="7"/>
        <v/>
      </c>
      <c r="M46" s="4"/>
      <c r="T46" s="4"/>
      <c r="U46" s="4"/>
      <c r="V46" s="4"/>
    </row>
    <row r="47" ht="15.75" customHeight="1">
      <c r="D47" s="4" t="str">
        <f t="shared" si="8"/>
        <v/>
      </c>
      <c r="E47" s="4"/>
      <c r="G47" s="4"/>
      <c r="K47" s="4" t="str">
        <f t="shared" si="7"/>
        <v/>
      </c>
      <c r="M47" s="4"/>
      <c r="T47" s="4"/>
      <c r="U47" s="4"/>
      <c r="V47" s="4"/>
    </row>
    <row r="48" ht="15.75" customHeight="1">
      <c r="D48" s="4" t="str">
        <f t="shared" si="8"/>
        <v/>
      </c>
      <c r="E48" s="4"/>
      <c r="G48" s="4"/>
      <c r="K48" s="4" t="str">
        <f t="shared" si="7"/>
        <v/>
      </c>
      <c r="M48" s="4"/>
      <c r="T48" s="4"/>
      <c r="U48" s="4"/>
      <c r="V48" s="4"/>
    </row>
    <row r="49" ht="15.75" customHeight="1">
      <c r="D49" s="4" t="str">
        <f t="shared" si="8"/>
        <v/>
      </c>
      <c r="E49" s="4"/>
      <c r="G49" s="4"/>
      <c r="K49" s="4" t="str">
        <f t="shared" si="7"/>
        <v/>
      </c>
      <c r="M49" s="4"/>
      <c r="T49" s="4"/>
      <c r="U49" s="4"/>
      <c r="V49" s="4"/>
    </row>
    <row r="50" ht="15.75" customHeight="1">
      <c r="D50" s="4" t="str">
        <f t="shared" si="8"/>
        <v/>
      </c>
      <c r="E50" s="4"/>
      <c r="G50" s="4"/>
      <c r="K50" s="4" t="str">
        <f t="shared" si="7"/>
        <v/>
      </c>
      <c r="M50" s="4"/>
      <c r="T50" s="4"/>
      <c r="U50" s="4"/>
      <c r="V50" s="4"/>
    </row>
    <row r="51" ht="15.75" customHeight="1">
      <c r="D51" s="4" t="str">
        <f t="shared" si="8"/>
        <v/>
      </c>
      <c r="E51" s="4"/>
      <c r="G51" s="4"/>
      <c r="K51" s="4" t="str">
        <f t="shared" si="7"/>
        <v/>
      </c>
      <c r="M51" s="4"/>
      <c r="T51" s="4"/>
      <c r="U51" s="4"/>
      <c r="V51" s="4"/>
    </row>
    <row r="52" ht="15.75" customHeight="1">
      <c r="D52" s="4" t="str">
        <f t="shared" si="8"/>
        <v/>
      </c>
      <c r="E52" s="4"/>
      <c r="G52" s="4"/>
      <c r="K52" s="4" t="str">
        <f t="shared" si="7"/>
        <v/>
      </c>
      <c r="M52" s="4"/>
      <c r="T52" s="4"/>
      <c r="U52" s="4"/>
      <c r="V52" s="4"/>
    </row>
    <row r="53" ht="15.75" customHeight="1">
      <c r="D53" s="4" t="str">
        <f t="shared" si="8"/>
        <v/>
      </c>
      <c r="E53" s="4"/>
      <c r="G53" s="4"/>
      <c r="K53" s="4" t="str">
        <f t="shared" si="7"/>
        <v/>
      </c>
      <c r="M53" s="4"/>
      <c r="T53" s="4"/>
      <c r="U53" s="4"/>
      <c r="V53" s="4"/>
    </row>
    <row r="54" ht="15.75" customHeight="1">
      <c r="D54" s="4" t="str">
        <f t="shared" si="8"/>
        <v/>
      </c>
      <c r="E54" s="4"/>
      <c r="G54" s="4"/>
      <c r="K54" s="4" t="str">
        <f t="shared" si="7"/>
        <v/>
      </c>
      <c r="M54" s="4"/>
      <c r="T54" s="4"/>
      <c r="U54" s="4"/>
      <c r="V54" s="4"/>
    </row>
    <row r="55" ht="15.75" customHeight="1">
      <c r="D55" s="4" t="str">
        <f t="shared" si="8"/>
        <v/>
      </c>
      <c r="E55" s="4"/>
      <c r="G55" s="4"/>
      <c r="K55" s="4" t="str">
        <f t="shared" si="7"/>
        <v/>
      </c>
      <c r="M55" s="4"/>
      <c r="T55" s="4"/>
      <c r="U55" s="4"/>
      <c r="V55" s="4"/>
    </row>
    <row r="56" ht="15.75" customHeight="1">
      <c r="D56" s="4" t="str">
        <f t="shared" si="8"/>
        <v/>
      </c>
      <c r="E56" s="4"/>
      <c r="G56" s="4"/>
      <c r="K56" s="4" t="str">
        <f t="shared" si="7"/>
        <v/>
      </c>
      <c r="M56" s="4"/>
      <c r="T56" s="4"/>
      <c r="U56" s="4"/>
      <c r="V56" s="4"/>
    </row>
    <row r="57" ht="15.75" customHeight="1">
      <c r="D57" s="4" t="str">
        <f t="shared" si="8"/>
        <v/>
      </c>
      <c r="E57" s="4"/>
      <c r="G57" s="4"/>
      <c r="K57" s="4" t="str">
        <f t="shared" si="7"/>
        <v/>
      </c>
      <c r="M57" s="4"/>
      <c r="T57" s="4"/>
      <c r="U57" s="4"/>
      <c r="V57" s="4"/>
    </row>
    <row r="58" ht="15.75" customHeight="1">
      <c r="D58" s="4" t="str">
        <f t="shared" si="8"/>
        <v/>
      </c>
      <c r="E58" s="4"/>
      <c r="G58" s="4"/>
      <c r="K58" s="4" t="str">
        <f t="shared" si="7"/>
        <v/>
      </c>
      <c r="M58" s="4"/>
      <c r="T58" s="4"/>
      <c r="U58" s="4"/>
      <c r="V58" s="4"/>
    </row>
    <row r="59" ht="15.75" customHeight="1">
      <c r="D59" s="4" t="str">
        <f t="shared" si="8"/>
        <v/>
      </c>
      <c r="E59" s="4"/>
      <c r="G59" s="4"/>
      <c r="K59" s="4" t="str">
        <f t="shared" si="7"/>
        <v/>
      </c>
      <c r="M59" s="4"/>
      <c r="T59" s="4"/>
      <c r="U59" s="4"/>
      <c r="V59" s="4"/>
    </row>
    <row r="60" ht="15.75" customHeight="1">
      <c r="D60" s="4" t="str">
        <f t="shared" si="8"/>
        <v/>
      </c>
      <c r="E60" s="4"/>
      <c r="G60" s="4"/>
      <c r="K60" s="4" t="str">
        <f t="shared" si="7"/>
        <v/>
      </c>
      <c r="M60" s="4"/>
      <c r="T60" s="4"/>
      <c r="U60" s="4"/>
      <c r="V60" s="4"/>
    </row>
    <row r="61" ht="15.75" customHeight="1">
      <c r="D61" s="4" t="str">
        <f t="shared" si="8"/>
        <v/>
      </c>
      <c r="E61" s="4"/>
      <c r="G61" s="4"/>
      <c r="K61" s="4" t="str">
        <f t="shared" si="7"/>
        <v/>
      </c>
      <c r="M61" s="4"/>
      <c r="T61" s="4"/>
      <c r="U61" s="4"/>
      <c r="V61" s="4"/>
    </row>
    <row r="62" ht="15.75" customHeight="1">
      <c r="D62" s="4" t="str">
        <f t="shared" si="8"/>
        <v/>
      </c>
      <c r="E62" s="4"/>
      <c r="G62" s="4"/>
      <c r="K62" s="4" t="str">
        <f t="shared" si="7"/>
        <v/>
      </c>
      <c r="M62" s="4"/>
      <c r="T62" s="4"/>
      <c r="U62" s="4"/>
      <c r="V62" s="4"/>
    </row>
    <row r="63" ht="15.75" customHeight="1">
      <c r="D63" s="4" t="str">
        <f t="shared" si="8"/>
        <v/>
      </c>
      <c r="E63" s="4"/>
      <c r="G63" s="4"/>
      <c r="K63" s="4" t="str">
        <f t="shared" si="7"/>
        <v/>
      </c>
      <c r="M63" s="4"/>
      <c r="T63" s="4"/>
      <c r="U63" s="4"/>
      <c r="V63" s="4"/>
    </row>
    <row r="64" ht="15.75" customHeight="1">
      <c r="D64" s="4" t="str">
        <f t="shared" si="8"/>
        <v/>
      </c>
      <c r="E64" s="4"/>
      <c r="G64" s="4"/>
      <c r="K64" s="4" t="str">
        <f t="shared" si="7"/>
        <v/>
      </c>
      <c r="M64" s="4"/>
      <c r="T64" s="4"/>
      <c r="U64" s="4"/>
      <c r="V64" s="4"/>
    </row>
    <row r="65" ht="15.75" customHeight="1">
      <c r="D65" s="4" t="str">
        <f t="shared" si="8"/>
        <v/>
      </c>
      <c r="E65" s="4"/>
      <c r="G65" s="4"/>
      <c r="K65" s="4" t="str">
        <f t="shared" si="7"/>
        <v/>
      </c>
      <c r="M65" s="4"/>
      <c r="T65" s="4"/>
      <c r="U65" s="4"/>
      <c r="V65" s="4"/>
    </row>
    <row r="66" ht="15.75" customHeight="1">
      <c r="D66" s="4" t="str">
        <f t="shared" si="8"/>
        <v/>
      </c>
      <c r="E66" s="4"/>
      <c r="G66" s="4"/>
      <c r="K66" s="4" t="str">
        <f t="shared" si="7"/>
        <v/>
      </c>
      <c r="M66" s="4"/>
      <c r="T66" s="4"/>
      <c r="U66" s="4"/>
      <c r="V66" s="4"/>
    </row>
    <row r="67" ht="15.75" customHeight="1">
      <c r="D67" s="4" t="str">
        <f t="shared" si="8"/>
        <v/>
      </c>
      <c r="E67" s="4"/>
      <c r="G67" s="4"/>
      <c r="K67" s="4" t="str">
        <f t="shared" si="7"/>
        <v/>
      </c>
      <c r="M67" s="4"/>
      <c r="T67" s="4"/>
      <c r="U67" s="4"/>
      <c r="V67" s="4"/>
    </row>
    <row r="68" ht="15.75" customHeight="1">
      <c r="D68" s="4" t="str">
        <f t="shared" si="8"/>
        <v/>
      </c>
      <c r="E68" s="4"/>
      <c r="G68" s="4"/>
      <c r="K68" s="4" t="str">
        <f t="shared" si="7"/>
        <v/>
      </c>
      <c r="M68" s="4"/>
      <c r="T68" s="4"/>
      <c r="U68" s="4"/>
      <c r="V68" s="4"/>
    </row>
    <row r="69" ht="15.75" customHeight="1">
      <c r="D69" s="4" t="str">
        <f t="shared" si="8"/>
        <v/>
      </c>
      <c r="E69" s="4"/>
      <c r="G69" s="4"/>
      <c r="K69" s="4" t="str">
        <f t="shared" si="7"/>
        <v/>
      </c>
      <c r="M69" s="4"/>
      <c r="T69" s="4"/>
      <c r="U69" s="4"/>
      <c r="V69" s="4"/>
    </row>
    <row r="70" ht="15.75" customHeight="1">
      <c r="D70" s="4" t="str">
        <f t="shared" si="8"/>
        <v/>
      </c>
      <c r="E70" s="4"/>
      <c r="G70" s="4"/>
      <c r="K70" s="4" t="str">
        <f t="shared" si="7"/>
        <v/>
      </c>
      <c r="M70" s="4"/>
      <c r="T70" s="4"/>
      <c r="U70" s="4"/>
      <c r="V70" s="4"/>
    </row>
    <row r="71" ht="15.75" customHeight="1">
      <c r="D71" s="4" t="str">
        <f t="shared" si="8"/>
        <v/>
      </c>
      <c r="E71" s="4"/>
      <c r="G71" s="4"/>
      <c r="K71" s="4" t="str">
        <f t="shared" si="7"/>
        <v/>
      </c>
      <c r="M71" s="4"/>
      <c r="T71" s="4"/>
      <c r="U71" s="4"/>
      <c r="V71" s="4"/>
    </row>
    <row r="72" ht="15.75" customHeight="1">
      <c r="D72" s="4" t="str">
        <f t="shared" si="8"/>
        <v/>
      </c>
      <c r="E72" s="4"/>
      <c r="G72" s="4"/>
      <c r="K72" s="4" t="str">
        <f t="shared" si="7"/>
        <v/>
      </c>
      <c r="M72" s="4"/>
      <c r="T72" s="4"/>
      <c r="U72" s="4"/>
      <c r="V72" s="4"/>
    </row>
    <row r="73" ht="15.75" customHeight="1">
      <c r="D73" s="4" t="str">
        <f t="shared" si="8"/>
        <v/>
      </c>
      <c r="E73" s="4"/>
      <c r="G73" s="4"/>
      <c r="K73" s="4" t="str">
        <f t="shared" si="7"/>
        <v/>
      </c>
      <c r="M73" s="4"/>
      <c r="T73" s="4"/>
      <c r="U73" s="4"/>
      <c r="V73" s="4"/>
    </row>
    <row r="74" ht="15.75" customHeight="1">
      <c r="D74" s="4" t="str">
        <f t="shared" si="8"/>
        <v/>
      </c>
      <c r="E74" s="4"/>
      <c r="G74" s="4"/>
      <c r="K74" s="4" t="str">
        <f t="shared" si="7"/>
        <v/>
      </c>
      <c r="M74" s="4"/>
      <c r="T74" s="4"/>
      <c r="U74" s="4"/>
      <c r="V74" s="4"/>
    </row>
    <row r="75" ht="15.75" customHeight="1">
      <c r="D75" s="4" t="str">
        <f t="shared" si="8"/>
        <v/>
      </c>
      <c r="E75" s="4"/>
      <c r="G75" s="4"/>
      <c r="K75" s="4" t="str">
        <f t="shared" si="7"/>
        <v/>
      </c>
      <c r="M75" s="4"/>
      <c r="T75" s="4"/>
      <c r="U75" s="4"/>
      <c r="V75" s="4"/>
    </row>
    <row r="76" ht="15.75" customHeight="1">
      <c r="D76" s="4" t="str">
        <f t="shared" si="8"/>
        <v/>
      </c>
      <c r="E76" s="4"/>
      <c r="G76" s="4"/>
      <c r="K76" s="4" t="str">
        <f t="shared" si="7"/>
        <v/>
      </c>
      <c r="M76" s="4"/>
      <c r="T76" s="4"/>
      <c r="U76" s="4"/>
      <c r="V76" s="4"/>
    </row>
    <row r="77" ht="15.75" customHeight="1">
      <c r="D77" s="4" t="str">
        <f t="shared" si="8"/>
        <v/>
      </c>
      <c r="E77" s="4"/>
      <c r="G77" s="4"/>
      <c r="K77" s="4" t="str">
        <f t="shared" si="7"/>
        <v/>
      </c>
      <c r="M77" s="4"/>
      <c r="T77" s="4"/>
      <c r="U77" s="4"/>
      <c r="V77" s="4"/>
    </row>
    <row r="78" ht="15.75" customHeight="1">
      <c r="D78" s="4" t="str">
        <f t="shared" si="8"/>
        <v/>
      </c>
      <c r="E78" s="4"/>
      <c r="G78" s="4"/>
      <c r="K78" s="4" t="str">
        <f t="shared" si="7"/>
        <v/>
      </c>
      <c r="M78" s="4"/>
      <c r="T78" s="4"/>
      <c r="U78" s="4"/>
      <c r="V78" s="4"/>
    </row>
    <row r="79" ht="15.75" customHeight="1">
      <c r="D79" s="4" t="str">
        <f t="shared" si="8"/>
        <v/>
      </c>
      <c r="E79" s="4"/>
      <c r="G79" s="4"/>
      <c r="K79" s="4" t="str">
        <f t="shared" si="7"/>
        <v/>
      </c>
      <c r="M79" s="4"/>
      <c r="T79" s="4"/>
      <c r="U79" s="4"/>
      <c r="V79" s="4"/>
    </row>
    <row r="80" ht="15.75" customHeight="1">
      <c r="D80" s="4" t="str">
        <f t="shared" si="8"/>
        <v/>
      </c>
      <c r="E80" s="4"/>
      <c r="G80" s="4"/>
      <c r="K80" s="4" t="str">
        <f t="shared" si="7"/>
        <v/>
      </c>
      <c r="M80" s="4"/>
      <c r="T80" s="4"/>
      <c r="U80" s="4"/>
      <c r="V80" s="4"/>
    </row>
    <row r="81" ht="15.75" customHeight="1">
      <c r="D81" s="4" t="str">
        <f t="shared" si="8"/>
        <v/>
      </c>
      <c r="E81" s="4"/>
      <c r="G81" s="4"/>
      <c r="K81" s="4" t="str">
        <f t="shared" si="7"/>
        <v/>
      </c>
      <c r="M81" s="4"/>
      <c r="T81" s="4"/>
      <c r="U81" s="4"/>
      <c r="V81" s="4"/>
    </row>
    <row r="82" ht="15.75" customHeight="1">
      <c r="D82" s="4" t="str">
        <f t="shared" si="8"/>
        <v/>
      </c>
      <c r="E82" s="4"/>
      <c r="G82" s="4"/>
      <c r="K82" s="4" t="str">
        <f t="shared" si="7"/>
        <v/>
      </c>
      <c r="M82" s="4"/>
      <c r="T82" s="4"/>
      <c r="U82" s="4"/>
      <c r="V82" s="4"/>
    </row>
    <row r="83" ht="15.75" customHeight="1">
      <c r="D83" s="4" t="str">
        <f t="shared" si="8"/>
        <v/>
      </c>
      <c r="E83" s="4"/>
      <c r="G83" s="4"/>
      <c r="K83" s="4" t="str">
        <f t="shared" si="7"/>
        <v/>
      </c>
      <c r="M83" s="4"/>
      <c r="T83" s="4"/>
      <c r="U83" s="4"/>
      <c r="V83" s="4"/>
    </row>
    <row r="84" ht="15.75" customHeight="1">
      <c r="D84" s="4" t="str">
        <f t="shared" si="8"/>
        <v/>
      </c>
      <c r="E84" s="4"/>
      <c r="G84" s="4"/>
      <c r="K84" s="4" t="str">
        <f t="shared" si="7"/>
        <v/>
      </c>
      <c r="M84" s="4"/>
      <c r="T84" s="4"/>
      <c r="U84" s="4"/>
      <c r="V84" s="4"/>
    </row>
    <row r="85" ht="15.75" customHeight="1">
      <c r="D85" s="4" t="str">
        <f t="shared" si="8"/>
        <v/>
      </c>
      <c r="E85" s="4"/>
      <c r="G85" s="4"/>
      <c r="K85" s="4" t="str">
        <f t="shared" si="7"/>
        <v/>
      </c>
      <c r="M85" s="4"/>
      <c r="T85" s="4"/>
      <c r="U85" s="4"/>
      <c r="V85" s="4"/>
    </row>
    <row r="86" ht="15.75" customHeight="1">
      <c r="D86" s="4" t="str">
        <f t="shared" si="8"/>
        <v/>
      </c>
      <c r="E86" s="4"/>
      <c r="G86" s="4"/>
      <c r="K86" s="4" t="str">
        <f t="shared" si="7"/>
        <v/>
      </c>
      <c r="M86" s="4"/>
      <c r="T86" s="4"/>
      <c r="U86" s="4"/>
      <c r="V86" s="4"/>
    </row>
    <row r="87" ht="15.75" customHeight="1">
      <c r="D87" s="4" t="str">
        <f t="shared" si="8"/>
        <v/>
      </c>
      <c r="E87" s="4"/>
      <c r="G87" s="4"/>
      <c r="K87" s="4" t="str">
        <f t="shared" si="7"/>
        <v/>
      </c>
      <c r="M87" s="4"/>
      <c r="T87" s="4"/>
      <c r="U87" s="4"/>
      <c r="V87" s="4"/>
    </row>
    <row r="88" ht="15.75" customHeight="1">
      <c r="D88" s="4" t="str">
        <f t="shared" si="8"/>
        <v/>
      </c>
      <c r="E88" s="4"/>
      <c r="G88" s="4"/>
      <c r="K88" s="4" t="str">
        <f t="shared" si="7"/>
        <v/>
      </c>
      <c r="M88" s="4"/>
      <c r="T88" s="4"/>
      <c r="U88" s="4"/>
      <c r="V88" s="4"/>
    </row>
    <row r="89" ht="15.75" customHeight="1">
      <c r="D89" s="4" t="str">
        <f t="shared" si="8"/>
        <v/>
      </c>
      <c r="E89" s="4"/>
      <c r="G89" s="4"/>
      <c r="K89" s="4" t="str">
        <f t="shared" si="7"/>
        <v/>
      </c>
      <c r="M89" s="4"/>
      <c r="T89" s="4"/>
      <c r="U89" s="4"/>
      <c r="V89" s="4"/>
    </row>
    <row r="90" ht="15.75" customHeight="1">
      <c r="D90" s="4" t="str">
        <f t="shared" si="8"/>
        <v/>
      </c>
      <c r="E90" s="4"/>
      <c r="G90" s="4"/>
      <c r="K90" s="4" t="str">
        <f t="shared" si="7"/>
        <v/>
      </c>
      <c r="M90" s="4"/>
      <c r="T90" s="4"/>
      <c r="U90" s="4"/>
      <c r="V90" s="4"/>
    </row>
    <row r="91" ht="15.75" customHeight="1">
      <c r="D91" s="4" t="str">
        <f t="shared" si="8"/>
        <v/>
      </c>
      <c r="E91" s="4"/>
      <c r="G91" s="4"/>
      <c r="K91" s="4" t="str">
        <f t="shared" si="7"/>
        <v/>
      </c>
      <c r="M91" s="4"/>
      <c r="T91" s="4"/>
      <c r="U91" s="4"/>
      <c r="V91" s="4"/>
    </row>
    <row r="92" ht="15.75" customHeight="1">
      <c r="D92" s="4" t="str">
        <f t="shared" si="8"/>
        <v/>
      </c>
      <c r="E92" s="4"/>
      <c r="G92" s="4"/>
      <c r="K92" s="4" t="str">
        <f t="shared" si="7"/>
        <v/>
      </c>
      <c r="M92" s="4"/>
      <c r="T92" s="4"/>
      <c r="U92" s="4"/>
      <c r="V92" s="4"/>
    </row>
    <row r="93" ht="15.75" customHeight="1">
      <c r="D93" s="4" t="str">
        <f t="shared" si="8"/>
        <v/>
      </c>
      <c r="E93" s="4"/>
      <c r="G93" s="4"/>
      <c r="K93" s="4" t="str">
        <f t="shared" si="7"/>
        <v/>
      </c>
      <c r="M93" s="4"/>
      <c r="T93" s="4"/>
      <c r="U93" s="4"/>
      <c r="V93" s="4"/>
    </row>
    <row r="94" ht="15.75" customHeight="1">
      <c r="D94" s="4" t="str">
        <f t="shared" si="8"/>
        <v/>
      </c>
      <c r="E94" s="4"/>
      <c r="G94" s="4"/>
      <c r="K94" s="4" t="str">
        <f t="shared" si="7"/>
        <v/>
      </c>
      <c r="M94" s="4"/>
      <c r="T94" s="4"/>
      <c r="U94" s="4"/>
      <c r="V94" s="4"/>
    </row>
    <row r="95" ht="15.75" customHeight="1">
      <c r="D95" s="4" t="str">
        <f t="shared" si="8"/>
        <v/>
      </c>
      <c r="E95" s="4"/>
      <c r="G95" s="4"/>
      <c r="K95" s="4" t="str">
        <f t="shared" si="7"/>
        <v/>
      </c>
      <c r="M95" s="4"/>
      <c r="T95" s="4"/>
      <c r="U95" s="4"/>
      <c r="V95" s="4"/>
    </row>
    <row r="96" ht="15.75" customHeight="1">
      <c r="D96" s="4" t="str">
        <f t="shared" si="8"/>
        <v/>
      </c>
      <c r="E96" s="4"/>
      <c r="G96" s="4"/>
      <c r="K96" s="4" t="str">
        <f t="shared" si="7"/>
        <v/>
      </c>
      <c r="M96" s="4"/>
      <c r="T96" s="4"/>
      <c r="U96" s="4"/>
      <c r="V96" s="4"/>
    </row>
    <row r="97" ht="15.75" customHeight="1">
      <c r="D97" s="4" t="str">
        <f t="shared" si="8"/>
        <v/>
      </c>
      <c r="E97" s="4"/>
      <c r="G97" s="4"/>
      <c r="K97" s="4" t="str">
        <f t="shared" si="7"/>
        <v/>
      </c>
      <c r="M97" s="4"/>
      <c r="T97" s="4"/>
      <c r="U97" s="4"/>
      <c r="V97" s="4"/>
    </row>
    <row r="98" ht="15.75" customHeight="1">
      <c r="D98" s="4" t="str">
        <f t="shared" si="8"/>
        <v/>
      </c>
      <c r="E98" s="4"/>
      <c r="G98" s="4"/>
      <c r="K98" s="4" t="str">
        <f t="shared" si="7"/>
        <v/>
      </c>
      <c r="M98" s="4"/>
      <c r="T98" s="4"/>
      <c r="U98" s="4"/>
      <c r="V98" s="4"/>
    </row>
    <row r="99" ht="15.75" customHeight="1">
      <c r="D99" s="4" t="str">
        <f t="shared" si="8"/>
        <v/>
      </c>
      <c r="E99" s="4"/>
      <c r="G99" s="4"/>
      <c r="K99" s="4" t="str">
        <f t="shared" si="7"/>
        <v/>
      </c>
      <c r="M99" s="4"/>
      <c r="T99" s="4"/>
      <c r="U99" s="4"/>
      <c r="V99" s="4"/>
    </row>
    <row r="100" ht="15.75" customHeight="1">
      <c r="D100" s="4" t="str">
        <f t="shared" si="8"/>
        <v/>
      </c>
      <c r="E100" s="4"/>
      <c r="G100" s="4"/>
      <c r="K100" s="4" t="str">
        <f t="shared" si="7"/>
        <v/>
      </c>
      <c r="M100" s="4"/>
      <c r="T100" s="4"/>
      <c r="U100" s="4"/>
      <c r="V100" s="4"/>
    </row>
    <row r="101" ht="15.75" customHeight="1">
      <c r="D101" s="4" t="str">
        <f t="shared" si="8"/>
        <v/>
      </c>
      <c r="E101" s="4"/>
      <c r="G101" s="4"/>
      <c r="K101" s="4" t="str">
        <f t="shared" si="7"/>
        <v/>
      </c>
      <c r="M101" s="4"/>
      <c r="T101" s="4"/>
      <c r="U101" s="4"/>
      <c r="V101" s="4"/>
    </row>
    <row r="102" ht="15.75" customHeight="1">
      <c r="D102" s="4" t="str">
        <f t="shared" si="8"/>
        <v/>
      </c>
      <c r="E102" s="4"/>
      <c r="G102" s="4"/>
      <c r="K102" s="4" t="str">
        <f t="shared" si="7"/>
        <v/>
      </c>
      <c r="M102" s="4"/>
      <c r="T102" s="4"/>
      <c r="U102" s="4"/>
      <c r="V102" s="4"/>
    </row>
    <row r="103" ht="15.75" customHeight="1">
      <c r="D103" s="4" t="str">
        <f t="shared" si="8"/>
        <v/>
      </c>
      <c r="E103" s="4"/>
      <c r="G103" s="4"/>
      <c r="K103" s="4" t="str">
        <f t="shared" si="7"/>
        <v/>
      </c>
      <c r="M103" s="4"/>
      <c r="T103" s="4"/>
      <c r="U103" s="4"/>
      <c r="V103" s="4"/>
    </row>
    <row r="104" ht="15.75" customHeight="1">
      <c r="D104" s="4" t="str">
        <f t="shared" si="8"/>
        <v/>
      </c>
      <c r="E104" s="4"/>
      <c r="G104" s="4"/>
      <c r="K104" s="4" t="str">
        <f t="shared" si="7"/>
        <v/>
      </c>
      <c r="M104" s="4"/>
      <c r="T104" s="4"/>
      <c r="U104" s="4"/>
      <c r="V104" s="4"/>
    </row>
    <row r="105" ht="15.75" customHeight="1">
      <c r="D105" s="4" t="str">
        <f t="shared" si="8"/>
        <v/>
      </c>
      <c r="E105" s="4"/>
      <c r="G105" s="4"/>
      <c r="K105" s="4" t="str">
        <f t="shared" si="7"/>
        <v/>
      </c>
      <c r="M105" s="4"/>
      <c r="T105" s="4"/>
      <c r="U105" s="4"/>
      <c r="V105" s="4"/>
    </row>
    <row r="106" ht="15.75" customHeight="1">
      <c r="D106" s="4" t="str">
        <f t="shared" si="8"/>
        <v/>
      </c>
      <c r="E106" s="4"/>
      <c r="G106" s="4"/>
      <c r="K106" s="4" t="str">
        <f t="shared" si="7"/>
        <v/>
      </c>
      <c r="M106" s="4"/>
      <c r="T106" s="4"/>
      <c r="U106" s="4"/>
      <c r="V106" s="4"/>
    </row>
    <row r="107" ht="15.75" customHeight="1">
      <c r="D107" s="4" t="str">
        <f t="shared" si="8"/>
        <v/>
      </c>
      <c r="E107" s="4"/>
      <c r="G107" s="4"/>
      <c r="K107" s="4" t="str">
        <f t="shared" si="7"/>
        <v/>
      </c>
      <c r="M107" s="4"/>
      <c r="T107" s="4"/>
      <c r="U107" s="4"/>
      <c r="V107" s="4"/>
    </row>
    <row r="108" ht="15.75" customHeight="1">
      <c r="D108" s="4" t="str">
        <f t="shared" si="8"/>
        <v/>
      </c>
      <c r="E108" s="4"/>
      <c r="G108" s="4"/>
      <c r="K108" s="4" t="str">
        <f t="shared" si="7"/>
        <v/>
      </c>
      <c r="M108" s="4"/>
      <c r="T108" s="4"/>
      <c r="U108" s="4"/>
      <c r="V108" s="4"/>
    </row>
    <row r="109" ht="15.75" customHeight="1">
      <c r="D109" s="4" t="str">
        <f t="shared" si="8"/>
        <v/>
      </c>
      <c r="E109" s="4"/>
      <c r="G109" s="4"/>
      <c r="K109" s="4" t="str">
        <f t="shared" si="7"/>
        <v/>
      </c>
      <c r="M109" s="4"/>
      <c r="T109" s="4"/>
      <c r="U109" s="4"/>
      <c r="V109" s="4"/>
    </row>
    <row r="110" ht="15.75" customHeight="1">
      <c r="D110" s="4" t="str">
        <f t="shared" si="8"/>
        <v/>
      </c>
      <c r="E110" s="4"/>
      <c r="G110" s="4"/>
      <c r="K110" s="4" t="str">
        <f t="shared" si="7"/>
        <v/>
      </c>
      <c r="M110" s="4"/>
      <c r="T110" s="4"/>
      <c r="U110" s="4"/>
      <c r="V110" s="4"/>
    </row>
    <row r="111" ht="15.75" customHeight="1">
      <c r="D111" s="4" t="str">
        <f t="shared" si="8"/>
        <v/>
      </c>
      <c r="E111" s="4"/>
      <c r="G111" s="4"/>
      <c r="K111" s="4" t="str">
        <f t="shared" si="7"/>
        <v/>
      </c>
      <c r="M111" s="4"/>
      <c r="T111" s="4"/>
      <c r="U111" s="4"/>
      <c r="V111" s="4"/>
    </row>
    <row r="112" ht="15.75" customHeight="1">
      <c r="D112" s="4" t="str">
        <f t="shared" si="8"/>
        <v/>
      </c>
      <c r="E112" s="4"/>
      <c r="G112" s="4"/>
      <c r="K112" s="4" t="str">
        <f t="shared" si="7"/>
        <v/>
      </c>
      <c r="M112" s="4"/>
      <c r="T112" s="4"/>
      <c r="U112" s="4"/>
      <c r="V112" s="4"/>
    </row>
    <row r="113" ht="15.75" customHeight="1">
      <c r="D113" s="4" t="str">
        <f t="shared" si="8"/>
        <v/>
      </c>
      <c r="E113" s="4"/>
      <c r="G113" s="4"/>
      <c r="K113" s="4" t="str">
        <f t="shared" si="7"/>
        <v/>
      </c>
      <c r="M113" s="4"/>
      <c r="T113" s="4"/>
      <c r="U113" s="4"/>
      <c r="V113" s="4"/>
    </row>
    <row r="114" ht="15.75" customHeight="1">
      <c r="D114" s="4" t="str">
        <f t="shared" si="8"/>
        <v/>
      </c>
      <c r="E114" s="4"/>
      <c r="G114" s="4"/>
      <c r="K114" s="4" t="str">
        <f t="shared" si="7"/>
        <v/>
      </c>
      <c r="M114" s="4"/>
      <c r="T114" s="4"/>
      <c r="U114" s="4"/>
      <c r="V114" s="4"/>
    </row>
    <row r="115" ht="15.75" customHeight="1">
      <c r="D115" s="4" t="str">
        <f t="shared" si="8"/>
        <v/>
      </c>
      <c r="E115" s="4"/>
      <c r="G115" s="4"/>
      <c r="K115" s="4" t="str">
        <f t="shared" si="7"/>
        <v/>
      </c>
      <c r="M115" s="4"/>
      <c r="T115" s="4"/>
      <c r="U115" s="4"/>
      <c r="V115" s="4"/>
    </row>
    <row r="116" ht="15.75" customHeight="1">
      <c r="D116" s="4" t="str">
        <f t="shared" si="8"/>
        <v/>
      </c>
      <c r="E116" s="4"/>
      <c r="G116" s="4"/>
      <c r="K116" s="4" t="str">
        <f t="shared" si="7"/>
        <v/>
      </c>
      <c r="M116" s="4"/>
      <c r="T116" s="4"/>
      <c r="U116" s="4"/>
      <c r="V116" s="4"/>
    </row>
    <row r="117" ht="15.75" customHeight="1">
      <c r="D117" s="4" t="str">
        <f t="shared" si="8"/>
        <v/>
      </c>
      <c r="E117" s="4"/>
      <c r="G117" s="4"/>
      <c r="K117" s="4" t="str">
        <f t="shared" si="7"/>
        <v/>
      </c>
      <c r="M117" s="4"/>
      <c r="T117" s="4"/>
      <c r="U117" s="4"/>
      <c r="V117" s="4"/>
    </row>
    <row r="118" ht="15.75" customHeight="1">
      <c r="D118" s="4" t="str">
        <f t="shared" si="8"/>
        <v/>
      </c>
      <c r="E118" s="4"/>
      <c r="G118" s="4"/>
      <c r="K118" s="4" t="str">
        <f t="shared" si="7"/>
        <v/>
      </c>
      <c r="M118" s="4"/>
      <c r="T118" s="4"/>
      <c r="U118" s="4"/>
      <c r="V118" s="4"/>
    </row>
    <row r="119" ht="15.75" customHeight="1">
      <c r="D119" s="4" t="str">
        <f t="shared" si="8"/>
        <v/>
      </c>
      <c r="E119" s="4"/>
      <c r="G119" s="4"/>
      <c r="K119" s="4" t="str">
        <f t="shared" si="7"/>
        <v/>
      </c>
      <c r="M119" s="4"/>
      <c r="T119" s="4"/>
      <c r="U119" s="4"/>
      <c r="V119" s="4"/>
    </row>
    <row r="120" ht="15.75" customHeight="1">
      <c r="D120" s="4" t="str">
        <f t="shared" si="8"/>
        <v/>
      </c>
      <c r="E120" s="4"/>
      <c r="G120" s="4"/>
      <c r="K120" s="4" t="str">
        <f t="shared" si="7"/>
        <v/>
      </c>
      <c r="M120" s="4"/>
      <c r="T120" s="4"/>
      <c r="U120" s="4"/>
      <c r="V120" s="4"/>
    </row>
    <row r="121" ht="15.75" customHeight="1">
      <c r="D121" s="4" t="str">
        <f t="shared" si="8"/>
        <v/>
      </c>
      <c r="E121" s="4"/>
      <c r="G121" s="4"/>
      <c r="K121" s="4" t="str">
        <f t="shared" si="7"/>
        <v/>
      </c>
      <c r="M121" s="4"/>
      <c r="T121" s="4"/>
      <c r="U121" s="4"/>
      <c r="V121" s="4"/>
    </row>
    <row r="122" ht="15.75" customHeight="1">
      <c r="D122" s="4" t="str">
        <f t="shared" si="8"/>
        <v/>
      </c>
      <c r="E122" s="4"/>
      <c r="G122" s="4"/>
      <c r="K122" s="4" t="str">
        <f t="shared" si="7"/>
        <v/>
      </c>
      <c r="M122" s="4"/>
      <c r="T122" s="4"/>
      <c r="U122" s="4"/>
      <c r="V122" s="4"/>
    </row>
    <row r="123" ht="15.75" customHeight="1">
      <c r="D123" s="4" t="str">
        <f t="shared" si="8"/>
        <v/>
      </c>
      <c r="E123" s="4"/>
      <c r="G123" s="4"/>
      <c r="K123" s="4" t="str">
        <f t="shared" si="7"/>
        <v/>
      </c>
      <c r="M123" s="4"/>
      <c r="T123" s="4"/>
      <c r="U123" s="4"/>
      <c r="V123" s="4"/>
    </row>
    <row r="124" ht="15.75" customHeight="1">
      <c r="D124" s="4" t="str">
        <f t="shared" si="8"/>
        <v/>
      </c>
      <c r="E124" s="4"/>
      <c r="G124" s="4"/>
      <c r="K124" s="4" t="str">
        <f t="shared" si="7"/>
        <v/>
      </c>
      <c r="M124" s="4"/>
      <c r="T124" s="4"/>
      <c r="U124" s="4"/>
      <c r="V124" s="4"/>
    </row>
    <row r="125" ht="15.75" customHeight="1">
      <c r="D125" s="4" t="str">
        <f t="shared" si="8"/>
        <v/>
      </c>
      <c r="E125" s="4"/>
      <c r="G125" s="4"/>
      <c r="K125" s="4" t="str">
        <f t="shared" si="7"/>
        <v/>
      </c>
      <c r="M125" s="4"/>
      <c r="T125" s="4"/>
      <c r="U125" s="4"/>
      <c r="V125" s="4"/>
    </row>
    <row r="126" ht="15.75" customHeight="1">
      <c r="D126" s="4" t="str">
        <f t="shared" si="8"/>
        <v/>
      </c>
      <c r="E126" s="4"/>
      <c r="G126" s="4"/>
      <c r="K126" s="4" t="str">
        <f t="shared" si="7"/>
        <v/>
      </c>
      <c r="M126" s="4"/>
      <c r="T126" s="4"/>
      <c r="U126" s="4"/>
      <c r="V126" s="4"/>
    </row>
    <row r="127" ht="15.75" customHeight="1">
      <c r="D127" s="4" t="str">
        <f t="shared" si="8"/>
        <v/>
      </c>
      <c r="E127" s="4"/>
      <c r="G127" s="4"/>
      <c r="K127" s="4" t="str">
        <f t="shared" si="7"/>
        <v/>
      </c>
      <c r="M127" s="4"/>
      <c r="T127" s="4"/>
      <c r="U127" s="4"/>
      <c r="V127" s="4"/>
    </row>
    <row r="128" ht="15.75" customHeight="1">
      <c r="D128" s="4" t="str">
        <f t="shared" si="8"/>
        <v/>
      </c>
      <c r="E128" s="4"/>
      <c r="G128" s="4"/>
      <c r="K128" s="4" t="str">
        <f t="shared" si="7"/>
        <v/>
      </c>
      <c r="M128" s="4"/>
      <c r="T128" s="4"/>
      <c r="U128" s="4"/>
      <c r="V128" s="4"/>
    </row>
    <row r="129" ht="15.75" customHeight="1">
      <c r="D129" s="4" t="str">
        <f t="shared" si="8"/>
        <v/>
      </c>
      <c r="E129" s="4"/>
      <c r="G129" s="4"/>
      <c r="K129" s="4" t="str">
        <f t="shared" si="7"/>
        <v/>
      </c>
      <c r="M129" s="4"/>
      <c r="T129" s="4"/>
      <c r="U129" s="4"/>
      <c r="V129" s="4"/>
    </row>
    <row r="130" ht="15.75" customHeight="1">
      <c r="D130" s="4" t="str">
        <f t="shared" si="8"/>
        <v/>
      </c>
      <c r="E130" s="4"/>
      <c r="G130" s="4"/>
      <c r="K130" s="4" t="str">
        <f t="shared" si="7"/>
        <v/>
      </c>
      <c r="M130" s="4"/>
      <c r="T130" s="4"/>
      <c r="U130" s="4"/>
      <c r="V130" s="4"/>
    </row>
    <row r="131" ht="15.75" customHeight="1">
      <c r="D131" s="4" t="str">
        <f t="shared" si="8"/>
        <v/>
      </c>
      <c r="E131" s="4"/>
      <c r="G131" s="4"/>
      <c r="K131" s="4" t="str">
        <f t="shared" si="7"/>
        <v/>
      </c>
      <c r="M131" s="4"/>
      <c r="T131" s="4"/>
      <c r="U131" s="4"/>
      <c r="V131" s="4"/>
    </row>
    <row r="132" ht="15.75" customHeight="1">
      <c r="D132" s="4" t="str">
        <f t="shared" si="8"/>
        <v/>
      </c>
      <c r="E132" s="4"/>
      <c r="G132" s="4"/>
      <c r="K132" s="4" t="str">
        <f t="shared" si="7"/>
        <v/>
      </c>
      <c r="M132" s="4"/>
      <c r="T132" s="4"/>
      <c r="U132" s="4"/>
      <c r="V132" s="4"/>
    </row>
    <row r="133" ht="15.75" customHeight="1">
      <c r="D133" s="4" t="str">
        <f t="shared" si="8"/>
        <v/>
      </c>
      <c r="E133" s="4"/>
      <c r="G133" s="4"/>
      <c r="K133" s="4" t="str">
        <f t="shared" si="7"/>
        <v/>
      </c>
      <c r="M133" s="4"/>
      <c r="T133" s="4"/>
      <c r="U133" s="4"/>
      <c r="V133" s="4"/>
    </row>
    <row r="134" ht="15.75" customHeight="1">
      <c r="D134" s="4" t="str">
        <f t="shared" si="8"/>
        <v/>
      </c>
      <c r="E134" s="4"/>
      <c r="G134" s="4"/>
      <c r="K134" s="4" t="str">
        <f t="shared" si="7"/>
        <v/>
      </c>
      <c r="M134" s="4"/>
      <c r="T134" s="4"/>
      <c r="U134" s="4"/>
      <c r="V134" s="4"/>
    </row>
    <row r="135" ht="15.75" customHeight="1">
      <c r="D135" s="4" t="str">
        <f t="shared" si="8"/>
        <v/>
      </c>
      <c r="E135" s="4"/>
      <c r="G135" s="4"/>
      <c r="K135" s="4" t="str">
        <f t="shared" si="7"/>
        <v/>
      </c>
      <c r="M135" s="4"/>
      <c r="T135" s="4"/>
      <c r="U135" s="4"/>
      <c r="V135" s="4"/>
    </row>
    <row r="136" ht="15.75" customHeight="1">
      <c r="D136" s="4" t="str">
        <f t="shared" si="8"/>
        <v/>
      </c>
      <c r="E136" s="4"/>
      <c r="G136" s="4"/>
      <c r="K136" s="4" t="str">
        <f t="shared" si="7"/>
        <v/>
      </c>
      <c r="M136" s="4"/>
      <c r="T136" s="4"/>
      <c r="U136" s="4"/>
      <c r="V136" s="4"/>
    </row>
    <row r="137" ht="15.75" customHeight="1">
      <c r="D137" s="4" t="str">
        <f t="shared" si="8"/>
        <v/>
      </c>
      <c r="E137" s="4"/>
      <c r="G137" s="4"/>
      <c r="K137" s="4" t="str">
        <f t="shared" si="7"/>
        <v/>
      </c>
      <c r="M137" s="4"/>
      <c r="T137" s="4"/>
      <c r="U137" s="4"/>
      <c r="V137" s="4"/>
    </row>
    <row r="138" ht="15.75" customHeight="1">
      <c r="D138" s="4" t="str">
        <f t="shared" si="8"/>
        <v/>
      </c>
      <c r="E138" s="4"/>
      <c r="G138" s="4"/>
      <c r="K138" s="4" t="str">
        <f t="shared" si="7"/>
        <v/>
      </c>
      <c r="M138" s="4"/>
      <c r="T138" s="4"/>
      <c r="U138" s="4"/>
      <c r="V138" s="4"/>
    </row>
    <row r="139" ht="15.75" customHeight="1">
      <c r="D139" s="4" t="str">
        <f t="shared" si="8"/>
        <v/>
      </c>
      <c r="E139" s="4"/>
      <c r="G139" s="4"/>
      <c r="K139" s="4" t="str">
        <f t="shared" si="7"/>
        <v/>
      </c>
      <c r="M139" s="4"/>
      <c r="T139" s="4"/>
      <c r="U139" s="4"/>
      <c r="V139" s="4"/>
    </row>
    <row r="140" ht="15.75" customHeight="1">
      <c r="D140" s="4" t="str">
        <f t="shared" si="8"/>
        <v/>
      </c>
      <c r="E140" s="4"/>
      <c r="G140" s="4"/>
      <c r="K140" s="4" t="str">
        <f t="shared" si="7"/>
        <v/>
      </c>
      <c r="M140" s="4"/>
      <c r="T140" s="4"/>
      <c r="U140" s="4"/>
      <c r="V140" s="4"/>
    </row>
    <row r="141" ht="15.75" customHeight="1">
      <c r="D141" s="4" t="str">
        <f t="shared" si="8"/>
        <v/>
      </c>
      <c r="E141" s="4"/>
      <c r="G141" s="4"/>
      <c r="K141" s="4" t="str">
        <f t="shared" si="7"/>
        <v/>
      </c>
      <c r="M141" s="4"/>
      <c r="T141" s="4"/>
      <c r="U141" s="4"/>
      <c r="V141" s="4"/>
    </row>
    <row r="142" ht="15.75" customHeight="1">
      <c r="D142" s="4" t="str">
        <f t="shared" si="8"/>
        <v/>
      </c>
      <c r="E142" s="4"/>
      <c r="G142" s="4"/>
      <c r="K142" s="4" t="str">
        <f t="shared" si="7"/>
        <v/>
      </c>
      <c r="M142" s="4"/>
      <c r="T142" s="4"/>
      <c r="U142" s="4"/>
      <c r="V142" s="4"/>
    </row>
    <row r="143" ht="15.75" customHeight="1">
      <c r="D143" s="4" t="str">
        <f t="shared" si="8"/>
        <v/>
      </c>
      <c r="E143" s="4"/>
      <c r="G143" s="4"/>
      <c r="K143" s="4" t="str">
        <f t="shared" si="7"/>
        <v/>
      </c>
      <c r="M143" s="4"/>
      <c r="T143" s="4"/>
      <c r="U143" s="4"/>
      <c r="V143" s="4"/>
    </row>
    <row r="144" ht="15.75" customHeight="1">
      <c r="D144" s="4" t="str">
        <f t="shared" si="8"/>
        <v/>
      </c>
      <c r="E144" s="4"/>
      <c r="G144" s="4"/>
      <c r="K144" s="4" t="str">
        <f t="shared" si="7"/>
        <v/>
      </c>
      <c r="M144" s="4"/>
      <c r="T144" s="4"/>
      <c r="U144" s="4"/>
      <c r="V144" s="4"/>
    </row>
    <row r="145" ht="15.75" customHeight="1">
      <c r="D145" s="4" t="str">
        <f t="shared" si="8"/>
        <v/>
      </c>
      <c r="E145" s="4"/>
      <c r="G145" s="4"/>
      <c r="K145" s="4" t="str">
        <f t="shared" si="7"/>
        <v/>
      </c>
      <c r="M145" s="4"/>
      <c r="T145" s="4"/>
      <c r="U145" s="4"/>
      <c r="V145" s="4"/>
    </row>
    <row r="146" ht="15.75" customHeight="1">
      <c r="D146" s="4" t="str">
        <f t="shared" si="8"/>
        <v/>
      </c>
      <c r="E146" s="4"/>
      <c r="G146" s="4"/>
      <c r="K146" s="4" t="str">
        <f t="shared" si="7"/>
        <v/>
      </c>
      <c r="M146" s="4"/>
      <c r="T146" s="4"/>
      <c r="U146" s="4"/>
      <c r="V146" s="4"/>
    </row>
    <row r="147" ht="15.75" customHeight="1">
      <c r="D147" s="4" t="str">
        <f t="shared" si="8"/>
        <v/>
      </c>
      <c r="E147" s="4"/>
      <c r="G147" s="4"/>
      <c r="K147" s="4" t="str">
        <f t="shared" si="7"/>
        <v/>
      </c>
      <c r="M147" s="4"/>
      <c r="T147" s="4"/>
      <c r="U147" s="4"/>
      <c r="V147" s="4"/>
    </row>
    <row r="148" ht="15.75" customHeight="1">
      <c r="D148" s="4" t="str">
        <f t="shared" si="8"/>
        <v/>
      </c>
      <c r="E148" s="4"/>
      <c r="G148" s="4"/>
      <c r="K148" s="4" t="str">
        <f t="shared" si="7"/>
        <v/>
      </c>
      <c r="M148" s="4"/>
      <c r="T148" s="4"/>
      <c r="U148" s="4"/>
      <c r="V148" s="4"/>
    </row>
    <row r="149" ht="15.75" customHeight="1">
      <c r="D149" s="4" t="str">
        <f t="shared" si="8"/>
        <v/>
      </c>
      <c r="E149" s="4"/>
      <c r="G149" s="4"/>
      <c r="K149" s="4" t="str">
        <f t="shared" si="7"/>
        <v/>
      </c>
      <c r="M149" s="4"/>
      <c r="T149" s="4"/>
      <c r="U149" s="4"/>
      <c r="V149" s="4"/>
    </row>
    <row r="150" ht="15.75" customHeight="1">
      <c r="D150" s="4" t="str">
        <f t="shared" si="8"/>
        <v/>
      </c>
      <c r="E150" s="4"/>
      <c r="G150" s="4"/>
      <c r="K150" s="4" t="str">
        <f t="shared" si="7"/>
        <v/>
      </c>
      <c r="M150" s="4"/>
      <c r="T150" s="4"/>
      <c r="U150" s="4"/>
      <c r="V150" s="4"/>
    </row>
    <row r="151" ht="15.75" customHeight="1">
      <c r="D151" s="4" t="str">
        <f t="shared" si="8"/>
        <v/>
      </c>
      <c r="E151" s="4"/>
      <c r="G151" s="4"/>
      <c r="K151" s="4" t="str">
        <f t="shared" si="7"/>
        <v/>
      </c>
      <c r="M151" s="4"/>
      <c r="T151" s="4"/>
      <c r="U151" s="4"/>
      <c r="V151" s="4"/>
    </row>
    <row r="152" ht="15.75" customHeight="1">
      <c r="D152" s="4" t="str">
        <f t="shared" si="8"/>
        <v/>
      </c>
      <c r="E152" s="4"/>
      <c r="G152" s="4"/>
      <c r="K152" s="4" t="str">
        <f t="shared" si="7"/>
        <v/>
      </c>
      <c r="M152" s="4"/>
      <c r="T152" s="4"/>
      <c r="U152" s="4"/>
      <c r="V152" s="4"/>
    </row>
    <row r="153" ht="15.75" customHeight="1">
      <c r="D153" s="4" t="str">
        <f t="shared" si="8"/>
        <v/>
      </c>
      <c r="E153" s="4"/>
      <c r="G153" s="4"/>
      <c r="K153" s="4" t="str">
        <f t="shared" si="7"/>
        <v/>
      </c>
      <c r="M153" s="4"/>
      <c r="T153" s="4"/>
      <c r="U153" s="4"/>
      <c r="V153" s="4"/>
    </row>
    <row r="154" ht="15.75" customHeight="1">
      <c r="D154" s="4" t="str">
        <f t="shared" si="8"/>
        <v/>
      </c>
      <c r="E154" s="4"/>
      <c r="G154" s="4"/>
      <c r="K154" s="4" t="str">
        <f t="shared" si="7"/>
        <v/>
      </c>
      <c r="M154" s="4"/>
      <c r="T154" s="4"/>
      <c r="U154" s="4"/>
      <c r="V154" s="4"/>
    </row>
    <row r="155" ht="15.75" customHeight="1">
      <c r="D155" s="4" t="str">
        <f t="shared" si="8"/>
        <v/>
      </c>
      <c r="E155" s="4"/>
      <c r="G155" s="4"/>
      <c r="K155" s="4" t="str">
        <f t="shared" si="7"/>
        <v/>
      </c>
      <c r="M155" s="4"/>
      <c r="T155" s="4"/>
      <c r="U155" s="4"/>
      <c r="V155" s="4"/>
    </row>
    <row r="156" ht="15.75" customHeight="1">
      <c r="D156" s="4" t="str">
        <f t="shared" si="8"/>
        <v/>
      </c>
      <c r="E156" s="4"/>
      <c r="G156" s="4"/>
      <c r="K156" s="4" t="str">
        <f t="shared" si="7"/>
        <v/>
      </c>
      <c r="M156" s="4"/>
      <c r="T156" s="4"/>
      <c r="U156" s="4"/>
      <c r="V156" s="4"/>
    </row>
    <row r="157" ht="15.75" customHeight="1">
      <c r="D157" s="4" t="str">
        <f t="shared" si="8"/>
        <v/>
      </c>
      <c r="E157" s="4"/>
      <c r="G157" s="4"/>
      <c r="K157" s="4" t="str">
        <f t="shared" si="7"/>
        <v/>
      </c>
      <c r="M157" s="4"/>
      <c r="T157" s="4"/>
      <c r="U157" s="4"/>
      <c r="V157" s="4"/>
    </row>
    <row r="158" ht="15.75" customHeight="1">
      <c r="D158" s="4" t="str">
        <f t="shared" si="8"/>
        <v/>
      </c>
      <c r="E158" s="4"/>
      <c r="G158" s="4"/>
      <c r="K158" s="4" t="str">
        <f t="shared" si="7"/>
        <v/>
      </c>
      <c r="M158" s="4"/>
      <c r="T158" s="4"/>
      <c r="U158" s="4"/>
      <c r="V158" s="4"/>
    </row>
    <row r="159" ht="15.75" customHeight="1">
      <c r="D159" s="4" t="str">
        <f t="shared" si="8"/>
        <v/>
      </c>
      <c r="E159" s="4"/>
      <c r="G159" s="4"/>
      <c r="K159" s="4" t="str">
        <f t="shared" si="7"/>
        <v/>
      </c>
      <c r="M159" s="4"/>
      <c r="T159" s="4"/>
      <c r="U159" s="4"/>
      <c r="V159" s="4"/>
    </row>
    <row r="160" ht="15.75" customHeight="1">
      <c r="D160" s="4" t="str">
        <f t="shared" si="8"/>
        <v/>
      </c>
      <c r="E160" s="4"/>
      <c r="G160" s="4"/>
      <c r="K160" s="4" t="str">
        <f t="shared" si="7"/>
        <v/>
      </c>
      <c r="M160" s="4"/>
      <c r="T160" s="4"/>
      <c r="U160" s="4"/>
      <c r="V160" s="4"/>
    </row>
    <row r="161" ht="15.75" customHeight="1">
      <c r="D161" s="4" t="str">
        <f t="shared" si="8"/>
        <v/>
      </c>
      <c r="E161" s="4"/>
      <c r="G161" s="4"/>
      <c r="K161" s="4" t="str">
        <f t="shared" si="7"/>
        <v/>
      </c>
      <c r="M161" s="4"/>
      <c r="T161" s="4"/>
      <c r="U161" s="4"/>
      <c r="V161" s="4"/>
    </row>
    <row r="162" ht="15.75" customHeight="1">
      <c r="D162" s="4" t="str">
        <f t="shared" si="8"/>
        <v/>
      </c>
      <c r="E162" s="4"/>
      <c r="G162" s="4"/>
      <c r="K162" s="4" t="str">
        <f t="shared" si="7"/>
        <v/>
      </c>
      <c r="M162" s="4"/>
      <c r="T162" s="4"/>
      <c r="U162" s="4"/>
      <c r="V162" s="4"/>
    </row>
    <row r="163" ht="15.75" customHeight="1">
      <c r="D163" s="4" t="str">
        <f t="shared" si="8"/>
        <v/>
      </c>
      <c r="E163" s="4"/>
      <c r="G163" s="4"/>
      <c r="K163" s="4" t="str">
        <f t="shared" si="7"/>
        <v/>
      </c>
      <c r="M163" s="4"/>
      <c r="T163" s="4"/>
      <c r="U163" s="4"/>
      <c r="V163" s="4"/>
    </row>
    <row r="164" ht="15.75" customHeight="1">
      <c r="D164" s="4" t="str">
        <f t="shared" si="8"/>
        <v/>
      </c>
      <c r="E164" s="4"/>
      <c r="G164" s="4"/>
      <c r="K164" s="4" t="str">
        <f t="shared" si="7"/>
        <v/>
      </c>
      <c r="M164" s="4"/>
      <c r="T164" s="4"/>
      <c r="U164" s="4"/>
      <c r="V164" s="4"/>
    </row>
    <row r="165" ht="15.75" customHeight="1">
      <c r="D165" s="4" t="str">
        <f t="shared" si="8"/>
        <v/>
      </c>
      <c r="E165" s="4"/>
      <c r="G165" s="4"/>
      <c r="K165" s="4" t="str">
        <f t="shared" si="7"/>
        <v/>
      </c>
      <c r="M165" s="4"/>
      <c r="T165" s="4"/>
      <c r="U165" s="4"/>
      <c r="V165" s="4"/>
    </row>
    <row r="166" ht="15.75" customHeight="1">
      <c r="D166" s="4" t="str">
        <f t="shared" si="8"/>
        <v/>
      </c>
      <c r="E166" s="4"/>
      <c r="G166" s="4"/>
      <c r="K166" s="4" t="str">
        <f t="shared" si="7"/>
        <v/>
      </c>
      <c r="M166" s="4"/>
      <c r="T166" s="4"/>
      <c r="U166" s="4"/>
      <c r="V166" s="4"/>
    </row>
    <row r="167" ht="15.75" customHeight="1">
      <c r="D167" s="4" t="str">
        <f t="shared" si="8"/>
        <v/>
      </c>
      <c r="E167" s="4"/>
      <c r="G167" s="4"/>
      <c r="K167" s="4" t="str">
        <f t="shared" si="7"/>
        <v/>
      </c>
      <c r="M167" s="4"/>
      <c r="T167" s="4"/>
      <c r="U167" s="4"/>
      <c r="V167" s="4"/>
    </row>
    <row r="168" ht="15.75" customHeight="1">
      <c r="D168" s="4" t="str">
        <f t="shared" si="8"/>
        <v/>
      </c>
      <c r="E168" s="4"/>
      <c r="G168" s="4"/>
      <c r="K168" s="4" t="str">
        <f t="shared" si="7"/>
        <v/>
      </c>
      <c r="M168" s="4"/>
      <c r="T168" s="4"/>
      <c r="U168" s="4"/>
      <c r="V168" s="4"/>
    </row>
    <row r="169" ht="15.75" customHeight="1">
      <c r="D169" s="4" t="str">
        <f t="shared" si="8"/>
        <v/>
      </c>
      <c r="E169" s="4"/>
      <c r="G169" s="4"/>
      <c r="K169" s="4" t="str">
        <f t="shared" si="7"/>
        <v/>
      </c>
      <c r="M169" s="4"/>
      <c r="T169" s="4"/>
      <c r="U169" s="4"/>
      <c r="V169" s="4"/>
    </row>
    <row r="170" ht="15.75" customHeight="1">
      <c r="D170" s="4" t="str">
        <f t="shared" si="8"/>
        <v/>
      </c>
      <c r="E170" s="4"/>
      <c r="G170" s="4"/>
      <c r="K170" s="4" t="str">
        <f t="shared" si="7"/>
        <v/>
      </c>
      <c r="M170" s="4"/>
      <c r="T170" s="4"/>
      <c r="U170" s="4"/>
      <c r="V170" s="4"/>
    </row>
    <row r="171" ht="15.75" customHeight="1">
      <c r="D171" s="4" t="str">
        <f t="shared" si="8"/>
        <v/>
      </c>
      <c r="E171" s="4"/>
      <c r="G171" s="4"/>
      <c r="K171" s="4" t="str">
        <f t="shared" si="7"/>
        <v/>
      </c>
      <c r="M171" s="4"/>
      <c r="T171" s="4"/>
      <c r="U171" s="4"/>
      <c r="V171" s="4"/>
    </row>
    <row r="172" ht="15.75" customHeight="1">
      <c r="D172" s="4" t="str">
        <f t="shared" si="8"/>
        <v/>
      </c>
      <c r="E172" s="4"/>
      <c r="G172" s="4"/>
      <c r="K172" s="4" t="str">
        <f t="shared" si="7"/>
        <v/>
      </c>
      <c r="M172" s="4"/>
      <c r="T172" s="4"/>
      <c r="U172" s="4"/>
      <c r="V172" s="4"/>
    </row>
    <row r="173" ht="15.75" customHeight="1">
      <c r="D173" s="4" t="str">
        <f t="shared" si="8"/>
        <v/>
      </c>
      <c r="E173" s="4"/>
      <c r="G173" s="4"/>
      <c r="K173" s="4" t="str">
        <f t="shared" si="7"/>
        <v/>
      </c>
      <c r="M173" s="4"/>
      <c r="T173" s="4"/>
      <c r="U173" s="4"/>
      <c r="V173" s="4"/>
    </row>
    <row r="174" ht="15.75" customHeight="1">
      <c r="D174" s="4" t="str">
        <f t="shared" si="8"/>
        <v/>
      </c>
      <c r="E174" s="4"/>
      <c r="G174" s="4"/>
      <c r="K174" s="4" t="str">
        <f t="shared" si="7"/>
        <v/>
      </c>
      <c r="M174" s="4"/>
      <c r="T174" s="4"/>
      <c r="U174" s="4"/>
      <c r="V174" s="4"/>
    </row>
    <row r="175" ht="15.75" customHeight="1">
      <c r="D175" s="4" t="str">
        <f t="shared" si="8"/>
        <v/>
      </c>
      <c r="E175" s="4"/>
      <c r="G175" s="4"/>
      <c r="K175" s="4" t="str">
        <f t="shared" si="7"/>
        <v/>
      </c>
      <c r="M175" s="4"/>
      <c r="T175" s="4"/>
      <c r="U175" s="4"/>
      <c r="V175" s="4"/>
    </row>
    <row r="176" ht="15.75" customHeight="1">
      <c r="D176" s="4" t="str">
        <f t="shared" si="8"/>
        <v/>
      </c>
      <c r="E176" s="4"/>
      <c r="G176" s="4"/>
      <c r="K176" s="4" t="str">
        <f t="shared" si="7"/>
        <v/>
      </c>
      <c r="M176" s="4"/>
      <c r="T176" s="4"/>
      <c r="U176" s="4"/>
      <c r="V176" s="4"/>
    </row>
    <row r="177" ht="15.75" customHeight="1">
      <c r="D177" s="4" t="str">
        <f t="shared" si="8"/>
        <v/>
      </c>
      <c r="E177" s="4"/>
      <c r="G177" s="4"/>
      <c r="K177" s="4" t="str">
        <f t="shared" si="7"/>
        <v/>
      </c>
      <c r="M177" s="4"/>
      <c r="T177" s="4"/>
      <c r="U177" s="4"/>
      <c r="V177" s="4"/>
    </row>
    <row r="178" ht="15.75" customHeight="1">
      <c r="D178" s="4" t="str">
        <f t="shared" si="8"/>
        <v/>
      </c>
      <c r="E178" s="4"/>
      <c r="G178" s="4"/>
      <c r="K178" s="4" t="str">
        <f t="shared" si="7"/>
        <v/>
      </c>
      <c r="M178" s="4"/>
      <c r="T178" s="4"/>
      <c r="U178" s="4"/>
      <c r="V178" s="4"/>
    </row>
    <row r="179" ht="15.75" customHeight="1">
      <c r="D179" s="4" t="str">
        <f t="shared" si="8"/>
        <v/>
      </c>
      <c r="E179" s="4"/>
      <c r="G179" s="4"/>
      <c r="K179" s="4" t="str">
        <f t="shared" si="7"/>
        <v/>
      </c>
      <c r="M179" s="4"/>
      <c r="T179" s="4"/>
      <c r="U179" s="4"/>
      <c r="V179" s="4"/>
    </row>
    <row r="180" ht="15.75" customHeight="1">
      <c r="D180" s="4" t="str">
        <f t="shared" si="8"/>
        <v/>
      </c>
      <c r="E180" s="4"/>
      <c r="G180" s="4"/>
      <c r="K180" s="4" t="str">
        <f t="shared" si="7"/>
        <v/>
      </c>
      <c r="M180" s="4"/>
      <c r="T180" s="4"/>
      <c r="U180" s="4"/>
      <c r="V180" s="4"/>
    </row>
    <row r="181" ht="15.75" customHeight="1">
      <c r="D181" s="4" t="str">
        <f t="shared" si="8"/>
        <v/>
      </c>
      <c r="E181" s="4"/>
      <c r="G181" s="4"/>
      <c r="K181" s="4" t="str">
        <f t="shared" si="7"/>
        <v/>
      </c>
      <c r="M181" s="4"/>
      <c r="T181" s="4"/>
      <c r="U181" s="4"/>
      <c r="V181" s="4"/>
    </row>
    <row r="182" ht="15.75" customHeight="1">
      <c r="D182" s="4" t="str">
        <f t="shared" si="8"/>
        <v/>
      </c>
      <c r="E182" s="4"/>
      <c r="G182" s="4"/>
      <c r="K182" s="4" t="str">
        <f t="shared" si="7"/>
        <v/>
      </c>
      <c r="M182" s="4"/>
      <c r="T182" s="4"/>
      <c r="U182" s="4"/>
      <c r="V182" s="4"/>
    </row>
    <row r="183" ht="15.75" customHeight="1">
      <c r="D183" s="4" t="str">
        <f t="shared" si="8"/>
        <v/>
      </c>
      <c r="E183" s="4"/>
      <c r="G183" s="4"/>
      <c r="K183" s="4" t="str">
        <f t="shared" si="7"/>
        <v/>
      </c>
      <c r="M183" s="4"/>
      <c r="T183" s="4"/>
      <c r="U183" s="4"/>
      <c r="V183" s="4"/>
    </row>
    <row r="184" ht="15.75" customHeight="1">
      <c r="D184" s="4" t="str">
        <f t="shared" si="8"/>
        <v/>
      </c>
      <c r="E184" s="4"/>
      <c r="G184" s="4"/>
      <c r="K184" s="4" t="str">
        <f t="shared" si="7"/>
        <v/>
      </c>
      <c r="M184" s="4"/>
      <c r="T184" s="4"/>
      <c r="U184" s="4"/>
      <c r="V184" s="4"/>
    </row>
    <row r="185" ht="15.75" customHeight="1">
      <c r="D185" s="4" t="str">
        <f t="shared" si="8"/>
        <v/>
      </c>
      <c r="E185" s="4"/>
      <c r="G185" s="4"/>
      <c r="K185" s="4" t="str">
        <f t="shared" si="7"/>
        <v/>
      </c>
      <c r="M185" s="4"/>
      <c r="T185" s="4"/>
      <c r="U185" s="4"/>
      <c r="V185" s="4"/>
    </row>
    <row r="186" ht="15.75" customHeight="1">
      <c r="D186" s="4" t="str">
        <f t="shared" si="8"/>
        <v/>
      </c>
      <c r="E186" s="4"/>
      <c r="G186" s="4"/>
      <c r="K186" s="4" t="str">
        <f t="shared" si="7"/>
        <v/>
      </c>
      <c r="M186" s="4"/>
      <c r="T186" s="4"/>
      <c r="U186" s="4"/>
      <c r="V186" s="4"/>
    </row>
    <row r="187" ht="15.75" customHeight="1">
      <c r="D187" s="4" t="str">
        <f t="shared" si="8"/>
        <v/>
      </c>
      <c r="E187" s="4"/>
      <c r="G187" s="4"/>
      <c r="K187" s="4" t="str">
        <f t="shared" si="7"/>
        <v/>
      </c>
      <c r="M187" s="4"/>
      <c r="T187" s="4"/>
      <c r="U187" s="4"/>
      <c r="V187" s="4"/>
    </row>
    <row r="188" ht="15.75" customHeight="1">
      <c r="D188" s="4" t="str">
        <f t="shared" si="8"/>
        <v/>
      </c>
      <c r="E188" s="4"/>
      <c r="G188" s="4"/>
      <c r="K188" s="4" t="str">
        <f t="shared" si="7"/>
        <v/>
      </c>
      <c r="M188" s="4"/>
      <c r="T188" s="4"/>
      <c r="U188" s="4"/>
      <c r="V188" s="4"/>
    </row>
    <row r="189" ht="15.75" customHeight="1">
      <c r="D189" s="4" t="str">
        <f t="shared" si="8"/>
        <v/>
      </c>
      <c r="E189" s="4"/>
      <c r="G189" s="4"/>
      <c r="K189" s="4" t="str">
        <f t="shared" si="7"/>
        <v/>
      </c>
      <c r="M189" s="4"/>
      <c r="T189" s="4"/>
      <c r="U189" s="4"/>
      <c r="V189" s="4"/>
    </row>
    <row r="190" ht="15.75" customHeight="1">
      <c r="D190" s="4" t="str">
        <f t="shared" si="8"/>
        <v/>
      </c>
      <c r="E190" s="4"/>
      <c r="G190" s="4"/>
      <c r="K190" s="4" t="str">
        <f t="shared" si="7"/>
        <v/>
      </c>
      <c r="M190" s="4"/>
      <c r="T190" s="4"/>
      <c r="U190" s="4"/>
      <c r="V190" s="4"/>
    </row>
    <row r="191" ht="15.75" customHeight="1">
      <c r="D191" s="4" t="str">
        <f t="shared" si="8"/>
        <v/>
      </c>
      <c r="E191" s="4"/>
      <c r="G191" s="4"/>
      <c r="K191" s="4" t="str">
        <f t="shared" si="7"/>
        <v/>
      </c>
      <c r="M191" s="4"/>
      <c r="T191" s="4"/>
      <c r="U191" s="4"/>
      <c r="V191" s="4"/>
    </row>
    <row r="192" ht="15.75" customHeight="1">
      <c r="D192" s="4" t="str">
        <f t="shared" si="8"/>
        <v/>
      </c>
      <c r="E192" s="4"/>
      <c r="G192" s="4"/>
      <c r="K192" s="4" t="str">
        <f t="shared" si="7"/>
        <v/>
      </c>
      <c r="M192" s="4"/>
      <c r="T192" s="4"/>
      <c r="U192" s="4"/>
      <c r="V192" s="4"/>
    </row>
    <row r="193" ht="15.75" customHeight="1">
      <c r="D193" s="4" t="str">
        <f t="shared" si="8"/>
        <v/>
      </c>
      <c r="K193" s="4" t="str">
        <f t="shared" si="7"/>
        <v/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ataValidations>
    <dataValidation type="list" allowBlank="1" showInputMessage="1" showErrorMessage="1" prompt="Escolha uma opção para Alta_UCIP_destino" sqref="U2:U192">
      <formula1>Listas_Dropdowns!$B$36:$B$40</formula1>
    </dataValidation>
    <dataValidation type="list" allowBlank="1" showInputMessage="1" showErrorMessage="1" prompt="Escolha uma opção para Categoria_diagnóstico" sqref="M2:M192">
      <formula1>Listas_Dropdowns!$B$6:$B$13</formula1>
    </dataValidation>
    <dataValidation type="list" allowBlank="1" showInputMessage="1" showErrorMessage="1" prompt="Escolha uma opção para Ventilação_mecânica" sqref="G2:G192">
      <formula1>Listas_Dropdowns!$B$43:$B$44</formula1>
    </dataValidation>
    <dataValidation type="list" allowBlank="1" showInputMessage="1" showErrorMessage="1" prompt="Escolha uma opção para Seguimento_psiquiatrico_apos_alta" sqref="V2:V192">
      <formula1>Listas_Dropdowns!$B$43:$B$44</formula1>
    </dataValidation>
    <dataValidation type="list" allowBlank="1" showInputMessage="1" showErrorMessage="1" prompt="Escolha uma opção para Sexo" sqref="E2:E192">
      <formula1>Listas_Dropdowns!$B$1:$B$3</formula1>
    </dataValidation>
    <dataValidation type="list" allowBlank="1" showInputMessage="1" showErrorMessage="1" prompt="Escolha uma opção para Medicação_psiquiátrica_iniciada" sqref="T2:T192">
      <formula1>Listas_Dropdowns!$B$43:$B$44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50</v>
      </c>
      <c r="B1" s="4" t="s">
        <v>81</v>
      </c>
    </row>
    <row r="2">
      <c r="B2" s="4" t="s">
        <v>68</v>
      </c>
    </row>
    <row r="3">
      <c r="B3" s="4" t="s">
        <v>173</v>
      </c>
    </row>
    <row r="6">
      <c r="A6" s="4" t="s">
        <v>58</v>
      </c>
      <c r="B6" s="4" t="s">
        <v>160</v>
      </c>
    </row>
    <row r="7">
      <c r="B7" s="4" t="s">
        <v>91</v>
      </c>
    </row>
    <row r="8">
      <c r="B8" s="4" t="s">
        <v>73</v>
      </c>
    </row>
    <row r="9">
      <c r="B9" s="4" t="s">
        <v>110</v>
      </c>
    </row>
    <row r="10">
      <c r="B10" s="4" t="s">
        <v>83</v>
      </c>
    </row>
    <row r="11">
      <c r="B11" s="4" t="s">
        <v>265</v>
      </c>
    </row>
    <row r="12">
      <c r="B12" s="1" t="s">
        <v>136</v>
      </c>
    </row>
    <row r="13">
      <c r="B13" s="1" t="s">
        <v>98</v>
      </c>
    </row>
    <row r="16">
      <c r="A16" s="4" t="s">
        <v>266</v>
      </c>
      <c r="B16" s="4" t="s">
        <v>267</v>
      </c>
    </row>
    <row r="17">
      <c r="B17" s="4" t="s">
        <v>268</v>
      </c>
    </row>
    <row r="18">
      <c r="B18" s="4" t="s">
        <v>269</v>
      </c>
    </row>
    <row r="19">
      <c r="B19" s="4" t="s">
        <v>270</v>
      </c>
    </row>
    <row r="20">
      <c r="B20" s="4" t="s">
        <v>271</v>
      </c>
    </row>
    <row r="21" ht="15.75" customHeight="1">
      <c r="B21" s="4" t="s">
        <v>272</v>
      </c>
    </row>
    <row r="22" ht="15.75" customHeight="1">
      <c r="B22" s="4" t="s">
        <v>273</v>
      </c>
    </row>
    <row r="23" ht="15.75" customHeight="1">
      <c r="B23" s="4" t="s">
        <v>274</v>
      </c>
    </row>
    <row r="24" ht="15.75" customHeight="1">
      <c r="B24" s="1" t="s">
        <v>183</v>
      </c>
    </row>
    <row r="25" ht="15.75" customHeight="1">
      <c r="B25" s="1" t="s">
        <v>275</v>
      </c>
    </row>
    <row r="26" ht="15.75" customHeight="1">
      <c r="B26" s="1" t="s">
        <v>276</v>
      </c>
    </row>
    <row r="27" ht="15.75" customHeight="1">
      <c r="A27" s="4" t="s">
        <v>277</v>
      </c>
      <c r="B27" s="1" t="s">
        <v>278</v>
      </c>
    </row>
    <row r="28" ht="15.75" customHeight="1">
      <c r="B28" s="4" t="s">
        <v>279</v>
      </c>
    </row>
    <row r="29" ht="15.75" customHeight="1">
      <c r="B29" s="4" t="s">
        <v>280</v>
      </c>
    </row>
    <row r="30" ht="15.75" customHeight="1">
      <c r="B30" s="4" t="s">
        <v>281</v>
      </c>
    </row>
    <row r="31" ht="15.75" customHeight="1">
      <c r="B31" s="4" t="s">
        <v>282</v>
      </c>
    </row>
    <row r="32" ht="15.75" customHeight="1">
      <c r="B32" s="4" t="s">
        <v>283</v>
      </c>
    </row>
    <row r="33" ht="15.75" customHeight="1">
      <c r="B33" s="1" t="s">
        <v>183</v>
      </c>
    </row>
    <row r="34" ht="15.75" customHeight="1"/>
    <row r="35" ht="15.75" customHeight="1"/>
    <row r="36" ht="15.75" customHeight="1">
      <c r="A36" s="4" t="s">
        <v>284</v>
      </c>
      <c r="B36" s="1" t="s">
        <v>101</v>
      </c>
    </row>
    <row r="37" ht="15.75" customHeight="1">
      <c r="B37" s="4" t="s">
        <v>162</v>
      </c>
    </row>
    <row r="38" ht="15.75" customHeight="1">
      <c r="B38" s="4" t="s">
        <v>189</v>
      </c>
    </row>
    <row r="39" ht="15.75" customHeight="1">
      <c r="B39" s="4" t="s">
        <v>184</v>
      </c>
    </row>
    <row r="40" ht="15.75" customHeight="1">
      <c r="B40" s="4" t="s">
        <v>78</v>
      </c>
    </row>
    <row r="41" ht="15.75" customHeight="1">
      <c r="B41" s="1" t="s">
        <v>285</v>
      </c>
    </row>
    <row r="42" ht="15.75" customHeight="1"/>
    <row r="43" ht="15.75" customHeight="1">
      <c r="A43" s="4" t="s">
        <v>286</v>
      </c>
      <c r="B43" s="4" t="s">
        <v>70</v>
      </c>
    </row>
    <row r="44" ht="15.75" customHeight="1">
      <c r="B44" s="4" t="s">
        <v>77</v>
      </c>
    </row>
    <row r="45" ht="15.75" customHeight="1"/>
    <row r="46" ht="15.75" customHeight="1">
      <c r="A46" s="1" t="s">
        <v>52</v>
      </c>
      <c r="B46" s="1" t="s">
        <v>287</v>
      </c>
    </row>
    <row r="47" ht="15.75" customHeight="1">
      <c r="B47" s="1" t="s">
        <v>288</v>
      </c>
    </row>
    <row r="48" ht="15.75" customHeight="1">
      <c r="B48" s="1" t="s">
        <v>289</v>
      </c>
    </row>
    <row r="49" ht="15.75" customHeight="1">
      <c r="B49" s="1" t="s">
        <v>290</v>
      </c>
    </row>
    <row r="50" ht="15.75" customHeight="1">
      <c r="B50" s="1" t="s">
        <v>89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2025-10-16T11:45:43Z</dcterms:created>
  <dc:creator>openpyxl</dc:creator>
</cp:coreProperties>
</file>